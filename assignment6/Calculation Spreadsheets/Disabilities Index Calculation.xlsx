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silvesterratcliffe/Documents/University/Year 2/Coursework/Week 3 - Digital Infrastructure/Mini Project/"/>
    </mc:Choice>
  </mc:AlternateContent>
  <xr:revisionPtr revIDLastSave="0" documentId="13_ncr:1_{E4BE19A5-1925-9340-A06D-D96010152AC9}" xr6:coauthVersionLast="47" xr6:coauthVersionMax="47" xr10:uidLastSave="{00000000-0000-0000-0000-000000000000}"/>
  <bookViews>
    <workbookView xWindow="17080" yWindow="680" windowWidth="17120" windowHeight="19860" xr2:uid="{00000000-000D-0000-FFFF-FFFF00000000}"/>
  </bookViews>
  <sheets>
    <sheet name="Disabilities Index Calculation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7" l="1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2" i="17"/>
  <c r="E634" i="17"/>
  <c r="F634" i="17"/>
  <c r="E635" i="17" l="1"/>
</calcChain>
</file>

<file path=xl/sharedStrings.xml><?xml version="1.0" encoding="utf-8"?>
<sst xmlns="http://schemas.openxmlformats.org/spreadsheetml/2006/main" count="2537" uniqueCount="1295">
  <si>
    <t>ONSConstID</t>
  </si>
  <si>
    <t>ConstituencyName</t>
  </si>
  <si>
    <t>RegNationID</t>
  </si>
  <si>
    <t>RegNationName</t>
  </si>
  <si>
    <t>E14001063</t>
  </si>
  <si>
    <t>Aldershot</t>
  </si>
  <si>
    <t>E12000008</t>
  </si>
  <si>
    <t>South East</t>
  </si>
  <si>
    <t>E14001064</t>
  </si>
  <si>
    <t>Aldridge-Brownhills</t>
  </si>
  <si>
    <t>E12000005</t>
  </si>
  <si>
    <t>West Midlands</t>
  </si>
  <si>
    <t>E14001065</t>
  </si>
  <si>
    <t>Altrincham &amp; Sale West</t>
  </si>
  <si>
    <t>E12000002</t>
  </si>
  <si>
    <t>North West</t>
  </si>
  <si>
    <t>E14001066</t>
  </si>
  <si>
    <t>Amber Valley</t>
  </si>
  <si>
    <t>E12000004</t>
  </si>
  <si>
    <t>East Midlands</t>
  </si>
  <si>
    <t>E14001067</t>
  </si>
  <si>
    <t>Arundel &amp;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</si>
  <si>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</si>
  <si>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</si>
  <si>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</si>
  <si>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</si>
  <si>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</si>
  <si>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</si>
  <si>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</si>
  <si>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</si>
  <si>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</si>
  <si>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</si>
  <si>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</si>
  <si>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</si>
  <si>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E12000007</t>
  </si>
  <si>
    <t>London</t>
  </si>
  <si>
    <t>E14001074</t>
  </si>
  <si>
    <t>Barnsley North</t>
  </si>
  <si>
    <t>E12000003</t>
  </si>
  <si>
    <t>Yorkshire and The Humber</t>
  </si>
  <si>
    <t>E14001075</t>
  </si>
  <si>
    <t>Barnsley South</t>
  </si>
  <si>
    <t>E14001076</t>
  </si>
  <si>
    <t>Barrow &amp; Furness</t>
  </si>
  <si>
    <t>E14001077</t>
  </si>
  <si>
    <t>Basildon &amp; Billericay</t>
  </si>
  <si>
    <t>E12000006</t>
  </si>
  <si>
    <t>East of England</t>
  </si>
  <si>
    <t>E14001078</t>
  </si>
  <si>
    <t>Basingstoke</t>
  </si>
  <si>
    <t>E14001079</t>
  </si>
  <si>
    <t>Bassetlaw</t>
  </si>
  <si>
    <t>E14001080</t>
  </si>
  <si>
    <t>Bath</t>
  </si>
  <si>
    <t>E12000009</t>
  </si>
  <si>
    <t>South West</t>
  </si>
  <si>
    <t>E14001081</t>
  </si>
  <si>
    <t>Battersea</t>
  </si>
  <si>
    <t>E14001082</t>
  </si>
  <si>
    <t>Beaconsfield</t>
  </si>
  <si>
    <t>E14001083</t>
  </si>
  <si>
    <t>Beckenham &amp; Penge</t>
  </si>
  <si>
    <t>E14001084</t>
  </si>
  <si>
    <t>Bedford</t>
  </si>
  <si>
    <t>E14001085</t>
  </si>
  <si>
    <t>Bermondsey &amp; Old Southwark</t>
  </si>
  <si>
    <t>E14001086</t>
  </si>
  <si>
    <t>Bethnal Green &amp; Stepney</t>
  </si>
  <si>
    <t>E14001087</t>
  </si>
  <si>
    <t>Beverley &amp; Holderness</t>
  </si>
  <si>
    <t>E14001088</t>
  </si>
  <si>
    <t>Bexhill &amp; Battle</t>
  </si>
  <si>
    <t>E14001089</t>
  </si>
  <si>
    <t>Bexleyheath &amp; Crayford</t>
  </si>
  <si>
    <t>E14001090</t>
  </si>
  <si>
    <t>Bicester &amp;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</si>
  <si>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</si>
  <si>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</si>
  <si>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</si>
  <si>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</si>
  <si>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</si>
  <si>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</si>
  <si>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</si>
  <si>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&amp; Moseley</t>
  </si>
  <si>
    <t>E14001095</t>
  </si>
  <si>
    <t>Birmingham Hodge Hill &amp;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</si>
  <si>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</si>
  <si>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</si>
  <si>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</si>
  <si>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</si>
  <si>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</si>
  <si>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</si>
  <si>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</si>
  <si>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</si>
  <si>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</si>
  <si>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</si>
  <si>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</si>
  <si>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</si>
  <si>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E12000001</t>
  </si>
  <si>
    <t>North East</t>
  </si>
  <si>
    <t>E14001102</t>
  </si>
  <si>
    <t>Blackburn</t>
  </si>
  <si>
    <t>E14001103</t>
  </si>
  <si>
    <t>Blackley &amp; Middleton South</t>
  </si>
  <si>
    <t>E14001104</t>
  </si>
  <si>
    <t>Blackpool North &amp; Fleetwood</t>
  </si>
  <si>
    <t>E14001105</t>
  </si>
  <si>
    <t>Blackpool South</t>
  </si>
  <si>
    <t>E14001106</t>
  </si>
  <si>
    <t>Blaydon &amp; Consett</t>
  </si>
  <si>
    <t>E14001107</t>
  </si>
  <si>
    <t>Blyth &amp; Ashington</t>
  </si>
  <si>
    <t>E14001108</t>
  </si>
  <si>
    <t>Bognor Regis &amp; Littlehampton</t>
  </si>
  <si>
    <t>E14001109</t>
  </si>
  <si>
    <t>Bolsover</t>
  </si>
  <si>
    <t>E14001110</t>
  </si>
  <si>
    <t>Bolton North East</t>
  </si>
  <si>
    <t>E14001111</t>
  </si>
  <si>
    <t>Bolton South &amp; Walkden</t>
  </si>
  <si>
    <t>E14001112</t>
  </si>
  <si>
    <t>Bolton West</t>
  </si>
  <si>
    <t>E14001113</t>
  </si>
  <si>
    <t>Bootle</t>
  </si>
  <si>
    <t>E14001114</t>
  </si>
  <si>
    <t>Boston &amp;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</si>
  <si>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</si>
  <si>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</si>
  <si>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</si>
  <si>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</si>
  <si>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</si>
  <si>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</si>
  <si>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</si>
  <si>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</si>
  <si>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</si>
  <si>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</si>
  <si>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</si>
  <si>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</si>
  <si>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</si>
  <si>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</si>
  <si>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</si>
  <si>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</si>
  <si>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</si>
  <si>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</si>
  <si>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</si>
  <si>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&amp; Isleworth</t>
  </si>
  <si>
    <t>E14001125</t>
  </si>
  <si>
    <t>Brentwood &amp; Ongar</t>
  </si>
  <si>
    <t>E14001126</t>
  </si>
  <si>
    <t>Bridgwater</t>
  </si>
  <si>
    <t>E14001127</t>
  </si>
  <si>
    <t>Bridlington &amp; The Wolds</t>
  </si>
  <si>
    <t>E14001128</t>
  </si>
  <si>
    <t>Brigg &amp; Immingham</t>
  </si>
  <si>
    <t>E14001129</t>
  </si>
  <si>
    <t>Brighton Kemptown &amp;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</si>
  <si>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</si>
  <si>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</si>
  <si>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</si>
  <si>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</si>
  <si>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</si>
  <si>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</si>
  <si>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</si>
  <si>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</si>
  <si>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</si>
  <si>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</si>
  <si>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</si>
  <si>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</si>
  <si>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</si>
  <si>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&amp; Fakenham</t>
  </si>
  <si>
    <t>E14001137</t>
  </si>
  <si>
    <t>Bromley &amp;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</si>
  <si>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</si>
  <si>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</si>
  <si>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</si>
  <si>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</si>
  <si>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</si>
  <si>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</si>
  <si>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</si>
  <si>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&amp; Bletchley</t>
  </si>
  <si>
    <t>E14001142</t>
  </si>
  <si>
    <t>Burnley</t>
  </si>
  <si>
    <t>E14001143</t>
  </si>
  <si>
    <t>Burton &amp; Uttoxeter</t>
  </si>
  <si>
    <t>E14001144</t>
  </si>
  <si>
    <t>Bury North</t>
  </si>
  <si>
    <t>E14001145</t>
  </si>
  <si>
    <t>Bury South</t>
  </si>
  <si>
    <t>E14001146</t>
  </si>
  <si>
    <t>Bury St Edmunds &amp; Stowmarket</t>
  </si>
  <si>
    <t>E14001147</t>
  </si>
  <si>
    <t>Calder Valley</t>
  </si>
  <si>
    <t>E14001148</t>
  </si>
  <si>
    <t>Camborne &amp;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</si>
  <si>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</si>
  <si>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</si>
  <si>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</si>
  <si>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</si>
  <si>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</si>
  <si>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</si>
  <si>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</si>
  <si>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</si>
  <si>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</si>
  <si>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&amp; Wallington</t>
  </si>
  <si>
    <t>E14001154</t>
  </si>
  <si>
    <t>Castle Point</t>
  </si>
  <si>
    <t>E14001155</t>
  </si>
  <si>
    <t>Central Devon</t>
  </si>
  <si>
    <t>E14001156</t>
  </si>
  <si>
    <t>Central Suffolk &amp; North Ipswich</t>
  </si>
  <si>
    <t>E14001157</t>
  </si>
  <si>
    <t>Chatham &amp; Aylesford</t>
  </si>
  <si>
    <t>E14001158</t>
  </si>
  <si>
    <t>Cheadle</t>
  </si>
  <si>
    <t>E14001159</t>
  </si>
  <si>
    <t>Chelmsford</t>
  </si>
  <si>
    <t>E14001160</t>
  </si>
  <si>
    <t>Chelsea &amp; Fulham</t>
  </si>
  <si>
    <t>E14001161</t>
  </si>
  <si>
    <t>Cheltenham</t>
  </si>
  <si>
    <t>E14001162</t>
  </si>
  <si>
    <t>Chesham &amp; Amersham</t>
  </si>
  <si>
    <t>E14001163</t>
  </si>
  <si>
    <t>Chester North &amp; Neston</t>
  </si>
  <si>
    <t>E14001164</t>
  </si>
  <si>
    <t>Chester South &amp; Eddisbury</t>
  </si>
  <si>
    <t>E14001165</t>
  </si>
  <si>
    <t>Chesterfield</t>
  </si>
  <si>
    <t>E14001166</t>
  </si>
  <si>
    <t>Chichester</t>
  </si>
  <si>
    <t>E14001167</t>
  </si>
  <si>
    <t>Chingford &amp;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</si>
  <si>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</si>
  <si>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</si>
  <si>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</si>
  <si>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</si>
  <si>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</si>
  <si>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</si>
  <si>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</si>
  <si>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</si>
  <si>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</si>
  <si>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&amp; Westminster</t>
  </si>
  <si>
    <t>E14001173</t>
  </si>
  <si>
    <t>City of Durham</t>
  </si>
  <si>
    <t>E14001174</t>
  </si>
  <si>
    <t>Clacton</t>
  </si>
  <si>
    <t>E14001175</t>
  </si>
  <si>
    <t>Clapham &amp;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</si>
  <si>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</si>
  <si>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</si>
  <si>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</si>
  <si>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</si>
  <si>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</si>
  <si>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</si>
  <si>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</si>
  <si>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&amp;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</si>
  <si>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</si>
  <si>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</si>
  <si>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</si>
  <si>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</si>
  <si>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</si>
  <si>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</si>
  <si>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</si>
  <si>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&amp; Killingworth</t>
  </si>
  <si>
    <t>E14001184</t>
  </si>
  <si>
    <t>Crawley</t>
  </si>
  <si>
    <t>E14001185</t>
  </si>
  <si>
    <t>Crewe &amp;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</si>
  <si>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</si>
  <si>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</si>
  <si>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</si>
  <si>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</si>
  <si>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</si>
  <si>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</si>
  <si>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</si>
  <si>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&amp;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</si>
  <si>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</si>
  <si>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</si>
  <si>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</si>
  <si>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</si>
  <si>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</si>
  <si>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</si>
  <si>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</si>
  <si>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</si>
  <si>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</si>
  <si>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</si>
  <si>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</si>
  <si>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</si>
  <si>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</si>
  <si>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&amp; Batley</t>
  </si>
  <si>
    <t>E14001197</t>
  </si>
  <si>
    <t>Didcot &amp; Wantage</t>
  </si>
  <si>
    <t>E14001198</t>
  </si>
  <si>
    <t>Doncaster Central</t>
  </si>
  <si>
    <t>E14001199</t>
  </si>
  <si>
    <t>Doncaster East &amp; the Isle of Axholme</t>
  </si>
  <si>
    <t>E14001200</t>
  </si>
  <si>
    <t>Doncaster North</t>
  </si>
  <si>
    <t>E14001201</t>
  </si>
  <si>
    <t>Dorking &amp; Horley</t>
  </si>
  <si>
    <t>E14001202</t>
  </si>
  <si>
    <t>Dover &amp; Deal</t>
  </si>
  <si>
    <t>E14001203</t>
  </si>
  <si>
    <t>Droitwich &amp; Evesham</t>
  </si>
  <si>
    <t>E14001204</t>
  </si>
  <si>
    <t>Dudley</t>
  </si>
  <si>
    <t>E14001205</t>
  </si>
  <si>
    <t>Dulwich &amp; West Norwood</t>
  </si>
  <si>
    <t>E14001206</t>
  </si>
  <si>
    <t>Dunstable &amp; Leighton Buzzard</t>
  </si>
  <si>
    <t>E14001207</t>
  </si>
  <si>
    <t>Ealing Central &amp; Acton</t>
  </si>
  <si>
    <t>E14001208</t>
  </si>
  <si>
    <t>Ealing North</t>
  </si>
  <si>
    <t>E14001209</t>
  </si>
  <si>
    <t>Ealing Southall</t>
  </si>
  <si>
    <t>E14001210</t>
  </si>
  <si>
    <t>Earley &amp; Woodley</t>
  </si>
  <si>
    <t>E14001211</t>
  </si>
  <si>
    <t>Easington</t>
  </si>
  <si>
    <t>E14001212</t>
  </si>
  <si>
    <t>East Grinstead &amp;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</si>
  <si>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</si>
  <si>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</si>
  <si>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</si>
  <si>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</si>
  <si>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</si>
  <si>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</si>
  <si>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</si>
  <si>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</si>
  <si>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</si>
  <si>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</si>
  <si>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</si>
  <si>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&amp; Shoreham</t>
  </si>
  <si>
    <t>E14001219</t>
  </si>
  <si>
    <t>Eastbourne</t>
  </si>
  <si>
    <t>E14001220</t>
  </si>
  <si>
    <t>Eastleigh</t>
  </si>
  <si>
    <t>E14001221</t>
  </si>
  <si>
    <t>Edmonton &amp; Winchmore Hill</t>
  </si>
  <si>
    <t>E14001222</t>
  </si>
  <si>
    <t>Ellesmere Port &amp; Bromborough</t>
  </si>
  <si>
    <t>E14001223</t>
  </si>
  <si>
    <t>Eltham &amp; Chislehurst</t>
  </si>
  <si>
    <t>E14001224</t>
  </si>
  <si>
    <t>Ely &amp; East Cambridgeshire</t>
  </si>
  <si>
    <t>E14001225</t>
  </si>
  <si>
    <t>Enfield North</t>
  </si>
  <si>
    <t>E14001226</t>
  </si>
  <si>
    <t>Epping Forest</t>
  </si>
  <si>
    <t>E14001227</t>
  </si>
  <si>
    <t>Epsom &amp; Ewell</t>
  </si>
  <si>
    <t>E14001228</t>
  </si>
  <si>
    <t>Erewash</t>
  </si>
  <si>
    <t>E14001229</t>
  </si>
  <si>
    <t>Erith &amp; Thamesmead</t>
  </si>
  <si>
    <t>E14001230</t>
  </si>
  <si>
    <t>Esher &amp; Walton</t>
  </si>
  <si>
    <t>E14001231</t>
  </si>
  <si>
    <t>Exeter</t>
  </si>
  <si>
    <t>E14001232</t>
  </si>
  <si>
    <t>Exmouth &amp; Exeter East</t>
  </si>
  <si>
    <t>E14001233</t>
  </si>
  <si>
    <t>Fareham &amp; Waterlooville</t>
  </si>
  <si>
    <t>E14001234</t>
  </si>
  <si>
    <t>Farnham &amp; Bordon</t>
  </si>
  <si>
    <t>E14001235</t>
  </si>
  <si>
    <t>Faversham &amp; Mid Kent</t>
  </si>
  <si>
    <t>E14001236</t>
  </si>
  <si>
    <t>Feltham &amp; Heston</t>
  </si>
  <si>
    <t>E14001237</t>
  </si>
  <si>
    <t>Filton &amp; Bradley Stoke</t>
  </si>
  <si>
    <t>E14001238</t>
  </si>
  <si>
    <t>Finchley &amp; Golders Green</t>
  </si>
  <si>
    <t>E14001239</t>
  </si>
  <si>
    <t>Folkestone &amp; Hythe</t>
  </si>
  <si>
    <t>E14001240</t>
  </si>
  <si>
    <t>Forest of Dean</t>
  </si>
  <si>
    <t>E14001241</t>
  </si>
  <si>
    <t>Frome &amp; East Somerset</t>
  </si>
  <si>
    <t>E14001242</t>
  </si>
  <si>
    <t>Fylde</t>
  </si>
  <si>
    <t>E14001243</t>
  </si>
  <si>
    <t>Gainsborough</t>
  </si>
  <si>
    <t>E14001244</t>
  </si>
  <si>
    <t>Gateshead Central &amp; Whickham</t>
  </si>
  <si>
    <t>E14001245</t>
  </si>
  <si>
    <t>Gedling</t>
  </si>
  <si>
    <t>E14001246</t>
  </si>
  <si>
    <t>Gillingham &amp; Rainham</t>
  </si>
  <si>
    <t>E14001247</t>
  </si>
  <si>
    <t>Glastonbury &amp; Somerton</t>
  </si>
  <si>
    <t>E14001248</t>
  </si>
  <si>
    <t>Gloucester</t>
  </si>
  <si>
    <t>E14001249</t>
  </si>
  <si>
    <t>Godalming &amp; Ash</t>
  </si>
  <si>
    <t>E14001250</t>
  </si>
  <si>
    <t>Goole &amp; Pocklington</t>
  </si>
  <si>
    <t>E14001251</t>
  </si>
  <si>
    <t>Gorton &amp; Denton</t>
  </si>
  <si>
    <t>E14001252</t>
  </si>
  <si>
    <t>Gosport</t>
  </si>
  <si>
    <t>E14001253</t>
  </si>
  <si>
    <t>Grantham &amp; Bourne</t>
  </si>
  <si>
    <t>E14001254</t>
  </si>
  <si>
    <t>Gravesham</t>
  </si>
  <si>
    <t>E14001255</t>
  </si>
  <si>
    <t>Great Grimsby &amp; Cleethorpes</t>
  </si>
  <si>
    <t>E14001256</t>
  </si>
  <si>
    <t>Great Yarmouth</t>
  </si>
  <si>
    <t>E14001257</t>
  </si>
  <si>
    <t>Greenwich &amp; Woolwich</t>
  </si>
  <si>
    <t>E14001258</t>
  </si>
  <si>
    <t>Guildford</t>
  </si>
  <si>
    <t>E14001259</t>
  </si>
  <si>
    <t>Hackney North &amp; Stoke Newington</t>
  </si>
  <si>
    <t>E14001260</t>
  </si>
  <si>
    <t>Hackney South &amp;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</si>
  <si>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</si>
  <si>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</si>
  <si>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</si>
  <si>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</si>
  <si>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</si>
  <si>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</si>
  <si>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</si>
  <si>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&amp; Chiswick</t>
  </si>
  <si>
    <t>E14001265</t>
  </si>
  <si>
    <t>Hampstead &amp; Highgate</t>
  </si>
  <si>
    <t>E14001266</t>
  </si>
  <si>
    <t>Harborough, Oadby &amp; Wigston</t>
  </si>
  <si>
    <t>E14001267</t>
  </si>
  <si>
    <t>Harlow</t>
  </si>
  <si>
    <t>E14001268</t>
  </si>
  <si>
    <t>Harpenden &amp; Berkhamsted</t>
  </si>
  <si>
    <t>E14001269</t>
  </si>
  <si>
    <t>Harrogate &amp;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</si>
  <si>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</si>
  <si>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</si>
  <si>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</si>
  <si>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</si>
  <si>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</si>
  <si>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</si>
  <si>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</si>
  <si>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&amp; North Essex</t>
  </si>
  <si>
    <t>E14001274</t>
  </si>
  <si>
    <t>Hastings &amp; Rye</t>
  </si>
  <si>
    <t>E14001275</t>
  </si>
  <si>
    <t>Havant</t>
  </si>
  <si>
    <t>E14001276</t>
  </si>
  <si>
    <t>Hayes &amp;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</si>
  <si>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</si>
  <si>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</si>
  <si>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</si>
  <si>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</si>
  <si>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</si>
  <si>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</si>
  <si>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</si>
  <si>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&amp; Thame</t>
  </si>
  <si>
    <t>E14001281</t>
  </si>
  <si>
    <t>Hereford &amp; South Herefordshire</t>
  </si>
  <si>
    <t>E14001282</t>
  </si>
  <si>
    <t>Herne Bay &amp; Sandwich</t>
  </si>
  <si>
    <t>E14001283</t>
  </si>
  <si>
    <t>Hertford &amp; Stortford</t>
  </si>
  <si>
    <t>E14001284</t>
  </si>
  <si>
    <t>Hertsmere</t>
  </si>
  <si>
    <t>E14001285</t>
  </si>
  <si>
    <t>Hexham</t>
  </si>
  <si>
    <t>E14001286</t>
  </si>
  <si>
    <t>Heywood &amp; Middleton North</t>
  </si>
  <si>
    <t>E14001287</t>
  </si>
  <si>
    <t>High Peak</t>
  </si>
  <si>
    <t>E14001288</t>
  </si>
  <si>
    <t>Hinckley &amp; Bosworth</t>
  </si>
  <si>
    <t>E14001289</t>
  </si>
  <si>
    <t>Hitchin</t>
  </si>
  <si>
    <t>E14001290</t>
  </si>
  <si>
    <t>Holborn &amp; St Pancras</t>
  </si>
  <si>
    <t>E14001291</t>
  </si>
  <si>
    <t>Honiton &amp; Sidmouth</t>
  </si>
  <si>
    <t>E14001292</t>
  </si>
  <si>
    <t>Hornchurch &amp; Upminster</t>
  </si>
  <si>
    <t>E14001293</t>
  </si>
  <si>
    <t>Hornsey &amp; Friern Barnet</t>
  </si>
  <si>
    <t>E14001294</t>
  </si>
  <si>
    <t>Horsham</t>
  </si>
  <si>
    <t>E14001295</t>
  </si>
  <si>
    <t>Houghton &amp; Sunderland South</t>
  </si>
  <si>
    <t>E14001296</t>
  </si>
  <si>
    <t>Hove &amp;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</si>
  <si>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</si>
  <si>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</si>
  <si>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</si>
  <si>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</si>
  <si>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</si>
  <si>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</si>
  <si>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</si>
  <si>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</si>
  <si>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</si>
  <si>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</si>
  <si>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</si>
  <si>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</si>
  <si>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</si>
  <si>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</si>
  <si>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</si>
  <si>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</si>
  <si>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</si>
  <si>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</si>
  <si>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</si>
  <si>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&amp; Finsbury</t>
  </si>
  <si>
    <t>E14001307</t>
  </si>
  <si>
    <t>Jarrow &amp; Gateshead East</t>
  </si>
  <si>
    <t>E14001308</t>
  </si>
  <si>
    <t>Keighley &amp; Ilkley</t>
  </si>
  <si>
    <t>E14001309</t>
  </si>
  <si>
    <t>Kenilworth &amp; Southam</t>
  </si>
  <si>
    <t>E14001310</t>
  </si>
  <si>
    <t>Kensington &amp; Bayswater</t>
  </si>
  <si>
    <t>E14001311</t>
  </si>
  <si>
    <t>Kettering</t>
  </si>
  <si>
    <t>E14001312</t>
  </si>
  <si>
    <t>Kingston &amp; Surbiton</t>
  </si>
  <si>
    <t>E14001313</t>
  </si>
  <si>
    <t>Kingston upon Hull East</t>
  </si>
  <si>
    <t>E14001314</t>
  </si>
  <si>
    <t>Kingston upon Hull North &amp; Cottingham</t>
  </si>
  <si>
    <t>E14001315</t>
  </si>
  <si>
    <t>Kingston upon Hull West &amp; Haltemprice</t>
  </si>
  <si>
    <t>E14001316</t>
  </si>
  <si>
    <t>Kingswinford &amp; South Staffordshire</t>
  </si>
  <si>
    <t>E14001317</t>
  </si>
  <si>
    <t>Knowsley</t>
  </si>
  <si>
    <t>E14001318</t>
  </si>
  <si>
    <t>Lancaster &amp; Wyre</t>
  </si>
  <si>
    <t>E14001319</t>
  </si>
  <si>
    <t>Leeds Central &amp;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</si>
  <si>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</si>
  <si>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</si>
  <si>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</si>
  <si>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</si>
  <si>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</si>
  <si>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</si>
  <si>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</si>
  <si>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</si>
  <si>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</si>
  <si>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&amp; Morley</t>
  </si>
  <si>
    <t>E14001325</t>
  </si>
  <si>
    <t>Leeds West &amp;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</si>
  <si>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</si>
  <si>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</si>
  <si>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</si>
  <si>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</si>
  <si>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</si>
  <si>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</si>
  <si>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</si>
  <si>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&amp;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</si>
  <si>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</si>
  <si>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</si>
  <si>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</si>
  <si>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</si>
  <si>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</si>
  <si>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</si>
  <si>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</si>
  <si>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&amp; East Dulwich</t>
  </si>
  <si>
    <t>E14001334</t>
  </si>
  <si>
    <t>Leyton &amp;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</si>
  <si>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</si>
  <si>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</si>
  <si>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</si>
  <si>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</si>
  <si>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</si>
  <si>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</si>
  <si>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</si>
  <si>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</si>
  <si>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</si>
  <si>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</si>
  <si>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</si>
  <si>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</si>
  <si>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</si>
  <si>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</si>
  <si>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</si>
  <si>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</si>
  <si>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</si>
  <si>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&amp; Horncastle</t>
  </si>
  <si>
    <t>E14001344</t>
  </si>
  <si>
    <t>Lowestoft</t>
  </si>
  <si>
    <t>E14001345</t>
  </si>
  <si>
    <t>Luton North</t>
  </si>
  <si>
    <t>E14001346</t>
  </si>
  <si>
    <t>Luton South &amp; South Bedfordshire</t>
  </si>
  <si>
    <t>E14001347</t>
  </si>
  <si>
    <t>Macclesfield</t>
  </si>
  <si>
    <t>E14001348</t>
  </si>
  <si>
    <t>Maidenhead</t>
  </si>
  <si>
    <t>E14001349</t>
  </si>
  <si>
    <t>Maidstone &amp;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</si>
  <si>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</si>
  <si>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</si>
  <si>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</si>
  <si>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</si>
  <si>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</si>
  <si>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</si>
  <si>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</si>
  <si>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</si>
  <si>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</si>
  <si>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</si>
  <si>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</si>
  <si>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</si>
  <si>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</si>
  <si>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&amp; Devizes</t>
  </si>
  <si>
    <t>E14001357</t>
  </si>
  <si>
    <t>Melton &amp; Syston</t>
  </si>
  <si>
    <t>E14001358</t>
  </si>
  <si>
    <t>Meriden &amp;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</si>
  <si>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</si>
  <si>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</si>
  <si>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</si>
  <si>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</si>
  <si>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</si>
  <si>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</si>
  <si>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</si>
  <si>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</si>
  <si>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</si>
  <si>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&amp;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</si>
  <si>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</si>
  <si>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</si>
  <si>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</si>
  <si>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</si>
  <si>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</si>
  <si>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</si>
  <si>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</si>
  <si>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&amp; Thornaby East</t>
  </si>
  <si>
    <t>E14001368</t>
  </si>
  <si>
    <t>Middlesbrough South &amp; East Cleveland</t>
  </si>
  <si>
    <t>E14001369</t>
  </si>
  <si>
    <t>Milton Keynes Central</t>
  </si>
  <si>
    <t>E14001370</t>
  </si>
  <si>
    <t>Milton Keynes North</t>
  </si>
  <si>
    <t>E14001371</t>
  </si>
  <si>
    <t>Mitcham &amp; Morden</t>
  </si>
  <si>
    <t>E14001372</t>
  </si>
  <si>
    <t>Morecambe &amp;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</si>
  <si>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</si>
  <si>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</si>
  <si>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</si>
  <si>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</si>
  <si>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</si>
  <si>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</si>
  <si>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</si>
  <si>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</si>
  <si>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</si>
  <si>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&amp; West</t>
  </si>
  <si>
    <t>E14001378</t>
  </si>
  <si>
    <t>Newcastle upon Tyne East &amp;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</si>
  <si>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</si>
  <si>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</si>
  <si>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</si>
  <si>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</si>
  <si>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</si>
  <si>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</si>
  <si>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</si>
  <si>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&amp; Spennymoor</t>
  </si>
  <si>
    <t>E14001383</t>
  </si>
  <si>
    <t>Normanton &amp;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</si>
  <si>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</si>
  <si>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</si>
  <si>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</si>
  <si>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</si>
  <si>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</si>
  <si>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</si>
  <si>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</si>
  <si>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</si>
  <si>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</si>
  <si>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</si>
  <si>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</si>
  <si>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</si>
  <si>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</si>
  <si>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</si>
  <si>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</si>
  <si>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</si>
  <si>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</si>
  <si>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</si>
  <si>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</si>
  <si>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</si>
  <si>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</si>
  <si>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&amp;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</si>
  <si>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</si>
  <si>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</si>
  <si>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</si>
  <si>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</si>
  <si>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</si>
  <si>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</si>
  <si>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</si>
  <si>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</si>
  <si>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</si>
  <si>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</si>
  <si>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</si>
  <si>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&amp;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</si>
  <si>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</si>
  <si>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</si>
  <si>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</si>
  <si>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</si>
  <si>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</si>
  <si>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</si>
  <si>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</si>
  <si>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</si>
  <si>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</si>
  <si>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</si>
  <si>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</si>
  <si>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</si>
  <si>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</si>
  <si>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</si>
  <si>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</si>
  <si>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</si>
  <si>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</si>
  <si>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</si>
  <si>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</si>
  <si>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</si>
  <si>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</si>
  <si>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&amp; Kimberley</t>
  </si>
  <si>
    <t>E14001412</t>
  </si>
  <si>
    <t>Nottingham South</t>
  </si>
  <si>
    <t>E14001413</t>
  </si>
  <si>
    <t>Nuneaton</t>
  </si>
  <si>
    <t>E14001414</t>
  </si>
  <si>
    <t>Old Bexley &amp; Sidcup</t>
  </si>
  <si>
    <t>E14001415</t>
  </si>
  <si>
    <t>Oldham East &amp; Saddleworth</t>
  </si>
  <si>
    <t>E14001416</t>
  </si>
  <si>
    <t>Oldham West, Chadderton &amp; Royton</t>
  </si>
  <si>
    <t>E14001417</t>
  </si>
  <si>
    <t>Orpington</t>
  </si>
  <si>
    <t>E14001418</t>
  </si>
  <si>
    <t>Ossett &amp; Denby Dale</t>
  </si>
  <si>
    <t>E14001419</t>
  </si>
  <si>
    <t>Oxford East</t>
  </si>
  <si>
    <t>E14001420</t>
  </si>
  <si>
    <t>Oxford West &amp; Abingdon</t>
  </si>
  <si>
    <t>E14001421</t>
  </si>
  <si>
    <t>Peckham</t>
  </si>
  <si>
    <t>E14001422</t>
  </si>
  <si>
    <t>Pendle &amp; Clitheroe</t>
  </si>
  <si>
    <t>E14001423</t>
  </si>
  <si>
    <t>Penistone &amp; Stocksbridge</t>
  </si>
  <si>
    <t>E14001424</t>
  </si>
  <si>
    <t>Penrith &amp; Solway</t>
  </si>
  <si>
    <t>E14001425</t>
  </si>
  <si>
    <t>Peterborough</t>
  </si>
  <si>
    <t>E14001426</t>
  </si>
  <si>
    <t>Plymouth Moor View</t>
  </si>
  <si>
    <t>E14001427</t>
  </si>
  <si>
    <t>Plymouth Sutton &amp; Devonport</t>
  </si>
  <si>
    <t>E14001428</t>
  </si>
  <si>
    <t>Pontefract, Castleford &amp; Knottingley</t>
  </si>
  <si>
    <t>E14001429</t>
  </si>
  <si>
    <t>Poole</t>
  </si>
  <si>
    <t>E14001430</t>
  </si>
  <si>
    <t>Poplar &amp;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</si>
  <si>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</si>
  <si>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</si>
  <si>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</si>
  <si>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</si>
  <si>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</si>
  <si>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</si>
  <si>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</si>
  <si>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</si>
  <si>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</si>
  <si>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&amp; Maida Vale</t>
  </si>
  <si>
    <t>E14001436</t>
  </si>
  <si>
    <t>Rawmarsh &amp; Conisbrough</t>
  </si>
  <si>
    <t>E14001437</t>
  </si>
  <si>
    <t>Rayleigh &amp; Wickford</t>
  </si>
  <si>
    <t>E14001438</t>
  </si>
  <si>
    <t>Reading Central</t>
  </si>
  <si>
    <t>E14001439</t>
  </si>
  <si>
    <t>Reading West &amp;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</si>
  <si>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</si>
  <si>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</si>
  <si>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</si>
  <si>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</si>
  <si>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</si>
  <si>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</si>
  <si>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</si>
  <si>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</si>
  <si>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</si>
  <si>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&amp; Northallerton</t>
  </si>
  <si>
    <t>E14001445</t>
  </si>
  <si>
    <t>Richmond Park</t>
  </si>
  <si>
    <t>E14001446</t>
  </si>
  <si>
    <t>Rochdale</t>
  </si>
  <si>
    <t>E14001447</t>
  </si>
  <si>
    <t>Rochester &amp; Strood</t>
  </si>
  <si>
    <t>E14001448</t>
  </si>
  <si>
    <t>Romford</t>
  </si>
  <si>
    <t>E14001449</t>
  </si>
  <si>
    <t>Romsey &amp; Southampton North</t>
  </si>
  <si>
    <t>E14001450</t>
  </si>
  <si>
    <t>Rossendale &amp;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</si>
  <si>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</si>
  <si>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</si>
  <si>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</si>
  <si>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</si>
  <si>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</si>
  <si>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</si>
  <si>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</si>
  <si>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&amp; Pinner</t>
  </si>
  <si>
    <t>E14001455</t>
  </si>
  <si>
    <t>Runcorn &amp; Helsby</t>
  </si>
  <si>
    <t>E14001456</t>
  </si>
  <si>
    <t>Runnymede &amp; Weybridge</t>
  </si>
  <si>
    <t>E14001457</t>
  </si>
  <si>
    <t>Rushcliffe</t>
  </si>
  <si>
    <t>E14001458</t>
  </si>
  <si>
    <t>Rutland &amp; Stamford</t>
  </si>
  <si>
    <t>E14001459</t>
  </si>
  <si>
    <t>Salford</t>
  </si>
  <si>
    <t>E14001460</t>
  </si>
  <si>
    <t>Salisbury</t>
  </si>
  <si>
    <t>E14001461</t>
  </si>
  <si>
    <t>Scarborough &amp;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</si>
  <si>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</si>
  <si>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</si>
  <si>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</si>
  <si>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</si>
  <si>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</si>
  <si>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</si>
  <si>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</si>
  <si>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</si>
  <si>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</si>
  <si>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&amp;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</si>
  <si>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</si>
  <si>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</si>
  <si>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</si>
  <si>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</si>
  <si>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</si>
  <si>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</si>
  <si>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</si>
  <si>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</si>
  <si>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</si>
  <si>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</si>
  <si>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</si>
  <si>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</si>
  <si>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</si>
  <si>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</si>
  <si>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</si>
  <si>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&amp; Sheppey</t>
  </si>
  <si>
    <t>E14001475</t>
  </si>
  <si>
    <t>Skipton &amp; Ripon</t>
  </si>
  <si>
    <t>E14001476</t>
  </si>
  <si>
    <t>Sleaford &amp; North Hykeham</t>
  </si>
  <si>
    <t>E14001477</t>
  </si>
  <si>
    <t>Slough</t>
  </si>
  <si>
    <t>E14001478</t>
  </si>
  <si>
    <t>Smethwick</t>
  </si>
  <si>
    <t>E14001479</t>
  </si>
  <si>
    <t>Solihull West &amp; Shirley</t>
  </si>
  <si>
    <t>E14001480</t>
  </si>
  <si>
    <t>South Basildon &amp;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</si>
  <si>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</si>
  <si>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</si>
  <si>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</si>
  <si>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</si>
  <si>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</si>
  <si>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</si>
  <si>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</si>
  <si>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</si>
  <si>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</si>
  <si>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</si>
  <si>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</si>
  <si>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</si>
  <si>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</si>
  <si>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&amp;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</si>
  <si>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</si>
  <si>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</si>
  <si>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</si>
  <si>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</si>
  <si>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</si>
  <si>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</si>
  <si>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</si>
  <si>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</si>
  <si>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</si>
  <si>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</si>
  <si>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</si>
  <si>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</si>
  <si>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</si>
  <si>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</si>
  <si>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</si>
  <si>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</si>
  <si>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</si>
  <si>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</si>
  <si>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</si>
  <si>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</si>
  <si>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</si>
  <si>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</si>
  <si>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</si>
  <si>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</si>
  <si>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</si>
  <si>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</si>
  <si>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</si>
  <si>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&amp; Rochford</t>
  </si>
  <si>
    <t>E14001502</t>
  </si>
  <si>
    <t>Southend West &amp; Leigh</t>
  </si>
  <si>
    <t>E14001503</t>
  </si>
  <si>
    <t>Southgate &amp;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</si>
  <si>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</si>
  <si>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</si>
  <si>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</si>
  <si>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</si>
  <si>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</si>
  <si>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</si>
  <si>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</si>
  <si>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</si>
  <si>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</si>
  <si>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&amp; Newquay</t>
  </si>
  <si>
    <t>E14001509</t>
  </si>
  <si>
    <t>St Helens North</t>
  </si>
  <si>
    <t>E14001510</t>
  </si>
  <si>
    <t>St Helens South &amp; Whiston</t>
  </si>
  <si>
    <t>E14001511</t>
  </si>
  <si>
    <t>St Ives</t>
  </si>
  <si>
    <t>E14001512</t>
  </si>
  <si>
    <t>St Neots &amp; Mid Cambridgeshire</t>
  </si>
  <si>
    <t>E14001513</t>
  </si>
  <si>
    <t>Stafford</t>
  </si>
  <si>
    <t>E14001514</t>
  </si>
  <si>
    <t>Staffordshire Moorlands</t>
  </si>
  <si>
    <t>E14001515</t>
  </si>
  <si>
    <t>Stalybridge &amp;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</si>
  <si>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</si>
  <si>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</si>
  <si>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</si>
  <si>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</si>
  <si>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</si>
  <si>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</si>
  <si>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</si>
  <si>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</si>
  <si>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</si>
  <si>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</si>
  <si>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</si>
  <si>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</si>
  <si>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</si>
  <si>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</si>
  <si>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</si>
  <si>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&amp; Penkridge</t>
  </si>
  <si>
    <t>E14001524</t>
  </si>
  <si>
    <t>Stourbridge</t>
  </si>
  <si>
    <t>E14001525</t>
  </si>
  <si>
    <t>Stratford &amp; Bow</t>
  </si>
  <si>
    <t>E14001526</t>
  </si>
  <si>
    <t>Stratford-on-Avon</t>
  </si>
  <si>
    <t>E14001527</t>
  </si>
  <si>
    <t>Streatham &amp; Croydon North</t>
  </si>
  <si>
    <t>E14001528</t>
  </si>
  <si>
    <t>Stretford &amp;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</si>
  <si>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</si>
  <si>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</si>
  <si>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</si>
  <si>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</si>
  <si>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</si>
  <si>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</si>
  <si>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</si>
  <si>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</si>
  <si>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</si>
  <si>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</si>
  <si>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</si>
  <si>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&amp;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</si>
  <si>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</si>
  <si>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</si>
  <si>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</si>
  <si>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</si>
  <si>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</si>
  <si>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</si>
  <si>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</si>
  <si>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</si>
  <si>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</si>
  <si>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</si>
  <si>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</si>
  <si>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&amp;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</si>
  <si>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</si>
  <si>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</si>
  <si>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</si>
  <si>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</si>
  <si>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</si>
  <si>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</si>
  <si>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</si>
  <si>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&amp; Malton</t>
  </si>
  <si>
    <t>E14001545</t>
  </si>
  <si>
    <t>Thornbury &amp; Yate</t>
  </si>
  <si>
    <t>E14001546</t>
  </si>
  <si>
    <t>Thurrock</t>
  </si>
  <si>
    <t>E14001547</t>
  </si>
  <si>
    <t>Tipton &amp; Wednesbury</t>
  </si>
  <si>
    <t>E14001548</t>
  </si>
  <si>
    <t>Tiverton &amp;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</si>
  <si>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</si>
  <si>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</si>
  <si>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</si>
  <si>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</si>
  <si>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</si>
  <si>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</si>
  <si>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</si>
  <si>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&amp; Tavistock</t>
  </si>
  <si>
    <t>E14001553</t>
  </si>
  <si>
    <t>Tottenham</t>
  </si>
  <si>
    <t>E14001554</t>
  </si>
  <si>
    <t>Truro &amp;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</si>
  <si>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</si>
  <si>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</si>
  <si>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</si>
  <si>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</si>
  <si>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</si>
  <si>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</si>
  <si>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</si>
  <si>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&amp; South Ruislip</t>
  </si>
  <si>
    <t>E14001559</t>
  </si>
  <si>
    <t>Vauxhall &amp; Camberwell Green</t>
  </si>
  <si>
    <t>E14001560</t>
  </si>
  <si>
    <t>Wakefield &amp; Rothwell</t>
  </si>
  <si>
    <t>E14001561</t>
  </si>
  <si>
    <t>Wallasey</t>
  </si>
  <si>
    <t>E14001562</t>
  </si>
  <si>
    <t>Walsall &amp;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</si>
  <si>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</si>
  <si>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</si>
  <si>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</si>
  <si>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</si>
  <si>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</si>
  <si>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</si>
  <si>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</si>
  <si>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&amp; Leamington</t>
  </si>
  <si>
    <t>E14001567</t>
  </si>
  <si>
    <t>Washington &amp;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</si>
  <si>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</si>
  <si>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</si>
  <si>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</si>
  <si>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</si>
  <si>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</si>
  <si>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</si>
  <si>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</si>
  <si>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&amp; Rushden</t>
  </si>
  <si>
    <t>E14001572</t>
  </si>
  <si>
    <t>Wells &amp;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</si>
  <si>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</si>
  <si>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</si>
  <si>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</si>
  <si>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</si>
  <si>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</si>
  <si>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</si>
  <si>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</si>
  <si>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&amp;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</si>
  <si>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</si>
  <si>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</si>
  <si>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</si>
  <si>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</si>
  <si>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</si>
  <si>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</si>
  <si>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</si>
  <si>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&amp; Lonsdale</t>
  </si>
  <si>
    <t>E14001581</t>
  </si>
  <si>
    <t>Weston-super-Mare</t>
  </si>
  <si>
    <t>E14001582</t>
  </si>
  <si>
    <t>Wetherby &amp; Easingwold</t>
  </si>
  <si>
    <t>E14001583</t>
  </si>
  <si>
    <t>Whitehaven &amp; Workington</t>
  </si>
  <si>
    <t>E14001584</t>
  </si>
  <si>
    <t>Widnes &amp;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</si>
  <si>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</si>
  <si>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</si>
  <si>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</si>
  <si>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</si>
  <si>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</si>
  <si>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</si>
  <si>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</si>
  <si>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</si>
  <si>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</si>
  <si>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</si>
  <si>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</si>
  <si>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</si>
  <si>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</si>
  <si>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</si>
  <si>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</si>
  <si>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</si>
  <si>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</si>
  <si>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</si>
  <si>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</si>
  <si>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</si>
  <si>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</si>
  <si>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</si>
  <si>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</si>
  <si>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</si>
  <si>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</si>
  <si>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</si>
  <si>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</si>
  <si>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&amp;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</si>
  <si>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</si>
  <si>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</si>
  <si>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</si>
  <si>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</si>
  <si>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</si>
  <si>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</si>
  <si>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</si>
  <si>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&amp; Sale East</t>
  </si>
  <si>
    <t>E14001603</t>
  </si>
  <si>
    <t>Yeovil</t>
  </si>
  <si>
    <t>E14001604</t>
  </si>
  <si>
    <t>York Central</t>
  </si>
  <si>
    <t>E14001605</t>
  </si>
  <si>
    <t>York Outer</t>
  </si>
  <si>
    <t>W07000081</t>
  </si>
  <si>
    <t>Aberafan Maesteg</t>
  </si>
  <si>
    <t>W92000004</t>
  </si>
  <si>
    <t>Wales</t>
  </si>
  <si>
    <t>W07000082</t>
  </si>
  <si>
    <t>Alyn &amp; Deeside</t>
  </si>
  <si>
    <t>W07000083</t>
  </si>
  <si>
    <t>Bangor Aberconwy</t>
  </si>
  <si>
    <t>W07000084</t>
  </si>
  <si>
    <t>Blaenau Gwent &amp; Rhymney</t>
  </si>
  <si>
    <t>W07000085</t>
  </si>
  <si>
    <t>Brecon, Radnor &amp;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</si>
  <si>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</si>
  <si>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</si>
  <si>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</si>
  <si>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</si>
  <si>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</si>
  <si>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</si>
  <si>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</si>
  <si>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</si>
  <si>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</si>
  <si>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</si>
  <si>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</si>
  <si>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&amp;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</si>
  <si>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</si>
  <si>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</si>
  <si>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</si>
  <si>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</si>
  <si>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</si>
  <si>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</si>
  <si>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</si>
  <si>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</si>
  <si>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</si>
  <si>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</si>
  <si>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</si>
  <si>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</si>
  <si>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</si>
  <si>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</si>
  <si>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</si>
  <si>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&amp; Aberdare</t>
  </si>
  <si>
    <t>W07000100</t>
  </si>
  <si>
    <t>Mid &amp; South Pembrokeshire</t>
  </si>
  <si>
    <t>W07000101</t>
  </si>
  <si>
    <t>Monmouthshire</t>
  </si>
  <si>
    <t>W07000102</t>
  </si>
  <si>
    <t>Montgomeryshire &amp; Glyndwr</t>
  </si>
  <si>
    <t>W07000103</t>
  </si>
  <si>
    <t>Neath &amp; Swansea East</t>
  </si>
  <si>
    <t>W07000104</t>
  </si>
  <si>
    <t>Newport East</t>
  </si>
  <si>
    <t>W07000105</t>
  </si>
  <si>
    <t>Newport West &amp; Islwyn</t>
  </si>
  <si>
    <t>W07000106</t>
  </si>
  <si>
    <t>Pontypridd</t>
  </si>
  <si>
    <t>W07000107</t>
  </si>
  <si>
    <t>Rhondda &amp;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</si>
  <si>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</si>
  <si>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</si>
  <si>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</si>
  <si>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</si>
  <si>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</si>
  <si>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</si>
  <si>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</si>
  <si>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</si>
  <si>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</si>
  <si>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</si>
  <si>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S14000021</t>
  </si>
  <si>
    <t>East Renfrewshire</t>
  </si>
  <si>
    <t>S92000003</t>
  </si>
  <si>
    <t>Scotland</t>
  </si>
  <si>
    <t>S14000027</t>
  </si>
  <si>
    <t>Na h-Eileanan an Iar</t>
  </si>
  <si>
    <t>S14000045</t>
  </si>
  <si>
    <t>Midlothian</t>
  </si>
  <si>
    <t>S14000048</t>
  </si>
  <si>
    <t>North Ayrshire &amp; Arran</t>
  </si>
  <si>
    <t>S14000051</t>
  </si>
  <si>
    <t>Orkney &amp; Shetland</t>
  </si>
  <si>
    <t>S14000060</t>
  </si>
  <si>
    <t>Aberdeen North</t>
  </si>
  <si>
    <t>S14000061</t>
  </si>
  <si>
    <t>Aberdeen South</t>
  </si>
  <si>
    <t>S14000062</t>
  </si>
  <si>
    <t>Aberdeenshire North &amp; Moray East</t>
  </si>
  <si>
    <t>S14000063</t>
  </si>
  <si>
    <t>Airdrie &amp; Shotts</t>
  </si>
  <si>
    <t>S14000064</t>
  </si>
  <si>
    <t>Alloa &amp; Grangemouth</t>
  </si>
  <si>
    <t>S14000065</t>
  </si>
  <si>
    <t>Angus &amp; Perthshire Glens</t>
  </si>
  <si>
    <t>S14000066</t>
  </si>
  <si>
    <t>Arbroath &amp; Broughty Ferry</t>
  </si>
  <si>
    <t>S14000067</t>
  </si>
  <si>
    <t>Argyll, Bute &amp; South Lochaber</t>
  </si>
  <si>
    <t>S14000068</t>
  </si>
  <si>
    <t>Bathgate &amp; Linlithgow</t>
  </si>
  <si>
    <t>S14000069</t>
  </si>
  <si>
    <t>Caithness, Sutherland &amp; Easter Ross</t>
  </si>
  <si>
    <t>S14000070</t>
  </si>
  <si>
    <t>Coatbridge &amp; Bellshill</t>
  </si>
  <si>
    <t>S14000071</t>
  </si>
  <si>
    <t>Cowdenbeath &amp; Kirkcaldy</t>
  </si>
  <si>
    <t>S14000072</t>
  </si>
  <si>
    <t>Cumbernauld &amp; Kirkintilloch</t>
  </si>
  <si>
    <t>S14000073</t>
  </si>
  <si>
    <t>Dumfries &amp; Galloway</t>
  </si>
  <si>
    <t>S14000074</t>
  </si>
  <si>
    <t>Dumfriesshire, Clydesdale &amp; Tweeddale</t>
  </si>
  <si>
    <t>S14000075</t>
  </si>
  <si>
    <t>Dundee Central</t>
  </si>
  <si>
    <t>S14000076</t>
  </si>
  <si>
    <t>Dunfermline &amp; Dollar</t>
  </si>
  <si>
    <t>S14000077</t>
  </si>
  <si>
    <t>East Kilbride &amp; Strathaven</t>
  </si>
  <si>
    <t>S14000078</t>
  </si>
  <si>
    <t>Edinburgh East &amp; Musselburgh</t>
  </si>
  <si>
    <t>S14000079</t>
  </si>
  <si>
    <t>Edinburgh North &amp;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</si>
  <si>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</si>
  <si>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</si>
  <si>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</si>
  <si>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</si>
  <si>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</si>
  <si>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</si>
  <si>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</si>
  <si>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</si>
  <si>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</si>
  <si>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</si>
  <si>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</si>
  <si>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</si>
  <si>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</si>
  <si>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</si>
  <si>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</si>
  <si>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</si>
  <si>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</si>
  <si>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</si>
  <si>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</si>
  <si>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</si>
  <si>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</si>
  <si>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&amp; Mid Fife</t>
  </si>
  <si>
    <t>S14000091</t>
  </si>
  <si>
    <t>Gordon &amp; Buchan</t>
  </si>
  <si>
    <t>S14000092</t>
  </si>
  <si>
    <t>Hamilton &amp; Clyde Valley</t>
  </si>
  <si>
    <t>S14000093</t>
  </si>
  <si>
    <t>Inverclyde &amp; Renfrewshire West</t>
  </si>
  <si>
    <t>S14000094</t>
  </si>
  <si>
    <t>Inverness, Skye &amp;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</si>
  <si>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</si>
  <si>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</si>
  <si>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</si>
  <si>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</si>
  <si>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</si>
  <si>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</si>
  <si>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</si>
  <si>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&amp; Strathspey</t>
  </si>
  <si>
    <t>S14000099</t>
  </si>
  <si>
    <t>Motherwell, Wishaw &amp; Carluke</t>
  </si>
  <si>
    <t>S14000100</t>
  </si>
  <si>
    <t>North East Fife</t>
  </si>
  <si>
    <t>S14000101</t>
  </si>
  <si>
    <t>Paisley &amp; Renfrewshire North</t>
  </si>
  <si>
    <t>S14000102</t>
  </si>
  <si>
    <t>Paisley &amp; Renfrewshire South</t>
  </si>
  <si>
    <t>S14000103</t>
  </si>
  <si>
    <t>Perth &amp; Kinross-shire</t>
  </si>
  <si>
    <t>S14000104</t>
  </si>
  <si>
    <t>Rutherglen</t>
  </si>
  <si>
    <t>S14000105</t>
  </si>
  <si>
    <t>Stirling &amp; Strathallan</t>
  </si>
  <si>
    <t>S14000106</t>
  </si>
  <si>
    <t>West Dunbartonshire</t>
  </si>
  <si>
    <t>S14000107</t>
  </si>
  <si>
    <t>Ayr, Carrick &amp; Cumnock</t>
  </si>
  <si>
    <t>S14000108</t>
  </si>
  <si>
    <t>Berwickshire, Roxburgh &amp; Selkirk</t>
  </si>
  <si>
    <t>S14000109</t>
  </si>
  <si>
    <t>Central Ayrshire</t>
  </si>
  <si>
    <t>S14000110</t>
  </si>
  <si>
    <t>Kilmarnock &amp; Loudoun</t>
  </si>
  <si>
    <t>S14000111</t>
  </si>
  <si>
    <t>West Aberdeenshire &amp; Kincardine</t>
  </si>
  <si>
    <t>No_disab</t>
  </si>
  <si>
    <t>Large_disab</t>
  </si>
  <si>
    <t>disab_index</t>
  </si>
  <si>
    <t>inv_disab_index</t>
  </si>
  <si>
    <t>inv_disab_index_100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</si>
</sst>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ABC5-0EE4-254E-BC34-A351B2178E21}">
  <dimension ref="A1:I635"/>
  <sheetViews>
    <sheetView tabSelected="1" topLeftCell="B1" workbookViewId="0">
      <selection activeCell="I12" sqref="I12"/>
    </sheetView>
  </sheetViews>
  <sheetFormatPr baseColWidth="10" defaultRowHeight="15" x14ac:dyDescent="0.2"/>
  <cols>
    <col min="2" max="2" width="28" customWidth="1"/>
    <col min="3" max="3" width="16" customWidth="1"/>
    <col min="4" max="4" width="20.6640625" customWidth="1"/>
    <col min="5" max="5" width="16.33203125" customWidth="1"/>
    <col min="6" max="6" width="14.83203125" customWidth="1"/>
    <col min="8" max="8" width="13.83203125" customWidth="1"/>
    <col min="9" max="9" width="17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1290</v>
      </c>
      <c r="F1" s="1" t="s">
        <v>1291</v>
      </c>
      <c r="G1" s="1" t="s">
        <v>1292</v>
      </c>
      <c r="H1" s="1" t="s">
        <v>1293</v>
      </c>
      <c r="I1" s="1" t="s">
        <v>1294</v>
      </c>
    </row>
    <row r="2" spans="1:9" x14ac:dyDescent="0.2">
      <c r="A2" s="1" t="s">
        <v>1108</v>
      </c>
      <c r="B2" s="1" t="s">
        <v>1109</v>
      </c>
      <c r="C2" s="1" t="s">
        <v>1110</v>
      </c>
      <c r="D2" s="1" t="s">
        <v>1111</v>
      </c>
      <c r="E2" s="1">
        <v>0.74652984099999997</v>
      </c>
      <c r="F2" s="1">
        <v>0.13563057000000001</v>
      </c>
      <c r="G2" s="1">
        <f>1.68*(1-E2)+3.17*F2</f>
        <v>0.85577877402000002</v>
      </c>
      <c r="H2">
        <f>1-G2</f>
        <v>0.14422122597999998</v>
      </c>
      <c r="I2">
        <f>100*H2</f>
        <v>14.422122597999998</v>
      </c>
    </row>
    <row r="3" spans="1:9" x14ac:dyDescent="0.2">
      <c r="A3" s="1" t="s">
        <v>1186</v>
      </c>
      <c r="B3" s="1" t="s">
        <v>1187</v>
      </c>
      <c r="C3" s="1" t="s">
        <v>1176</v>
      </c>
      <c r="D3" s="1" t="s">
        <v>1177</v>
      </c>
      <c r="E3" s="1">
        <v>0.77867204999999995</v>
      </c>
      <c r="F3" s="1">
        <v>9.2561659000000004E-2</v>
      </c>
      <c r="G3" s="1">
        <f t="shared" ref="G3:G66" si="0">1.68*(1-E3)+3.17*F3</f>
        <v>0.66525141503000007</v>
      </c>
      <c r="H3">
        <f t="shared" ref="H3:H66" si="1">1-G3</f>
        <v>0.33474858496999993</v>
      </c>
      <c r="I3">
        <f t="shared" ref="I3:I66" si="2">100*H3</f>
        <v>33.474858496999992</v>
      </c>
    </row>
    <row r="4" spans="1:9" x14ac:dyDescent="0.2">
      <c r="A4" s="1" t="s">
        <v>1188</v>
      </c>
      <c r="B4" s="1" t="s">
        <v>1189</v>
      </c>
      <c r="C4" s="1" t="s">
        <v>1176</v>
      </c>
      <c r="D4" s="1" t="s">
        <v>1177</v>
      </c>
      <c r="E4" s="1">
        <v>0.81828077899999996</v>
      </c>
      <c r="F4" s="1">
        <v>6.8633224000000007E-2</v>
      </c>
      <c r="G4" s="1">
        <f t="shared" si="0"/>
        <v>0.52285561136000003</v>
      </c>
      <c r="H4">
        <f t="shared" si="1"/>
        <v>0.47714438863999997</v>
      </c>
      <c r="I4">
        <f t="shared" si="2"/>
        <v>47.714438863999995</v>
      </c>
    </row>
    <row r="5" spans="1:9" x14ac:dyDescent="0.2">
      <c r="A5" s="1" t="s">
        <v>1190</v>
      </c>
      <c r="B5" s="1" t="s">
        <v>1191</v>
      </c>
      <c r="C5" s="1" t="s">
        <v>1176</v>
      </c>
      <c r="D5" s="1" t="s">
        <v>1177</v>
      </c>
      <c r="E5" s="1">
        <v>0.76199260099999999</v>
      </c>
      <c r="F5" s="1">
        <v>0.101085252</v>
      </c>
      <c r="G5" s="1">
        <f t="shared" si="0"/>
        <v>0.72029267915999995</v>
      </c>
      <c r="H5">
        <f t="shared" si="1"/>
        <v>0.27970732084000005</v>
      </c>
      <c r="I5">
        <f t="shared" si="2"/>
        <v>27.970732084000005</v>
      </c>
    </row>
    <row r="6" spans="1:9" x14ac:dyDescent="0.2">
      <c r="A6" s="1" t="s">
        <v>1192</v>
      </c>
      <c r="B6" s="1" t="s">
        <v>1193</v>
      </c>
      <c r="C6" s="1" t="s">
        <v>1176</v>
      </c>
      <c r="D6" s="1" t="s">
        <v>1177</v>
      </c>
      <c r="E6" s="1">
        <v>0.72947903599999997</v>
      </c>
      <c r="F6" s="1">
        <v>0.13721127699999999</v>
      </c>
      <c r="G6" s="1">
        <f t="shared" si="0"/>
        <v>0.88943496760999996</v>
      </c>
      <c r="H6">
        <f t="shared" si="1"/>
        <v>0.11056503239000004</v>
      </c>
      <c r="I6">
        <f t="shared" si="2"/>
        <v>11.056503239000005</v>
      </c>
    </row>
    <row r="7" spans="1:9" x14ac:dyDescent="0.2">
      <c r="A7" s="1" t="s">
        <v>4</v>
      </c>
      <c r="B7" s="1" t="s">
        <v>5</v>
      </c>
      <c r="C7" s="1" t="s">
        <v>6</v>
      </c>
      <c r="D7" s="1" t="s">
        <v>7</v>
      </c>
      <c r="E7" s="1">
        <v>0.85693604700000003</v>
      </c>
      <c r="F7" s="1">
        <v>5.3112492999999997E-2</v>
      </c>
      <c r="G7" s="1">
        <f t="shared" si="0"/>
        <v>0.40871404384999993</v>
      </c>
      <c r="H7">
        <f t="shared" si="1"/>
        <v>0.59128595615000012</v>
      </c>
      <c r="I7">
        <f t="shared" si="2"/>
        <v>59.128595615000009</v>
      </c>
    </row>
    <row r="8" spans="1:9" x14ac:dyDescent="0.2">
      <c r="A8" s="1" t="s">
        <v>8</v>
      </c>
      <c r="B8" s="1" t="s">
        <v>9</v>
      </c>
      <c r="C8" s="1" t="s">
        <v>10</v>
      </c>
      <c r="D8" s="1" t="s">
        <v>11</v>
      </c>
      <c r="E8" s="1">
        <v>0.81107182200000005</v>
      </c>
      <c r="F8" s="1">
        <v>8.1724657000000006E-2</v>
      </c>
      <c r="G8" s="1">
        <f t="shared" si="0"/>
        <v>0.57646650172999991</v>
      </c>
      <c r="H8">
        <f t="shared" si="1"/>
        <v>0.42353349827000009</v>
      </c>
      <c r="I8">
        <f t="shared" si="2"/>
        <v>42.353349827000009</v>
      </c>
    </row>
    <row r="9" spans="1:9" x14ac:dyDescent="0.2">
      <c r="A9" s="1" t="s">
        <v>1194</v>
      </c>
      <c r="B9" s="1" t="s">
        <v>1195</v>
      </c>
      <c r="C9" s="1" t="s">
        <v>1176</v>
      </c>
      <c r="D9" s="1" t="s">
        <v>1177</v>
      </c>
      <c r="E9" s="1">
        <v>0.74624225399999999</v>
      </c>
      <c r="F9" s="1">
        <v>0.11521635500000001</v>
      </c>
      <c r="G9" s="1">
        <f t="shared" si="0"/>
        <v>0.79154885863000002</v>
      </c>
      <c r="H9">
        <f t="shared" si="1"/>
        <v>0.20845114136999998</v>
      </c>
      <c r="I9">
        <f t="shared" si="2"/>
        <v>20.845114136999999</v>
      </c>
    </row>
    <row r="10" spans="1:9" x14ac:dyDescent="0.2">
      <c r="A10" s="1" t="s">
        <v>12</v>
      </c>
      <c r="B10" s="1" t="s">
        <v>13</v>
      </c>
      <c r="C10" s="1" t="s">
        <v>14</v>
      </c>
      <c r="D10" s="1" t="s">
        <v>15</v>
      </c>
      <c r="E10" s="1">
        <v>0.85779398399999995</v>
      </c>
      <c r="F10" s="1">
        <v>5.7736515000000002E-2</v>
      </c>
      <c r="G10" s="1">
        <f t="shared" si="0"/>
        <v>0.42193085943000008</v>
      </c>
      <c r="H10">
        <f t="shared" si="1"/>
        <v>0.57806914056999992</v>
      </c>
      <c r="I10">
        <f t="shared" si="2"/>
        <v>57.806914056999993</v>
      </c>
    </row>
    <row r="11" spans="1:9" x14ac:dyDescent="0.2">
      <c r="A11" s="1" t="s">
        <v>1112</v>
      </c>
      <c r="B11" s="1" t="s">
        <v>1113</v>
      </c>
      <c r="C11" s="1" t="s">
        <v>1110</v>
      </c>
      <c r="D11" s="1" t="s">
        <v>1111</v>
      </c>
      <c r="E11" s="1">
        <v>0.81591786399999999</v>
      </c>
      <c r="F11" s="1">
        <v>8.3214139000000006E-2</v>
      </c>
      <c r="G11" s="1">
        <f t="shared" si="0"/>
        <v>0.57304680911000005</v>
      </c>
      <c r="H11">
        <f t="shared" si="1"/>
        <v>0.42695319088999995</v>
      </c>
      <c r="I11">
        <f t="shared" si="2"/>
        <v>42.695319088999995</v>
      </c>
    </row>
    <row r="12" spans="1:9" x14ac:dyDescent="0.2">
      <c r="A12" s="1" t="s">
        <v>16</v>
      </c>
      <c r="B12" s="1" t="s">
        <v>17</v>
      </c>
      <c r="C12" s="1" t="s">
        <v>18</v>
      </c>
      <c r="D12" s="1" t="s">
        <v>19</v>
      </c>
      <c r="E12" s="1">
        <v>0.790482939</v>
      </c>
      <c r="F12" s="1">
        <v>9.0232723000000001E-2</v>
      </c>
      <c r="G12" s="1">
        <f t="shared" si="0"/>
        <v>0.63802639438999997</v>
      </c>
      <c r="H12">
        <f t="shared" si="1"/>
        <v>0.36197360561000003</v>
      </c>
      <c r="I12">
        <f t="shared" si="2"/>
        <v>36.197360561000004</v>
      </c>
    </row>
    <row r="13" spans="1:9" x14ac:dyDescent="0.2">
      <c r="A13" s="1" t="s">
        <v>1196</v>
      </c>
      <c r="B13" s="1" t="s">
        <v>1197</v>
      </c>
      <c r="C13" s="1" t="s">
        <v>1176</v>
      </c>
      <c r="D13" s="1" t="s">
        <v>1177</v>
      </c>
      <c r="E13" s="1">
        <v>0.75303826600000001</v>
      </c>
      <c r="F13" s="1">
        <v>0.102623584</v>
      </c>
      <c r="G13" s="1">
        <f t="shared" si="0"/>
        <v>0.74021247439999993</v>
      </c>
      <c r="H13">
        <f t="shared" si="1"/>
        <v>0.25978752560000007</v>
      </c>
      <c r="I13">
        <f t="shared" si="2"/>
        <v>25.978752560000007</v>
      </c>
    </row>
    <row r="14" spans="1:9" x14ac:dyDescent="0.2">
      <c r="A14" s="1" t="s">
        <v>1198</v>
      </c>
      <c r="B14" s="1" t="s">
        <v>1199</v>
      </c>
      <c r="C14" s="1" t="s">
        <v>1176</v>
      </c>
      <c r="D14" s="1" t="s">
        <v>1177</v>
      </c>
      <c r="E14" s="1">
        <v>0.754584162</v>
      </c>
      <c r="F14" s="1">
        <v>0.10772027100000001</v>
      </c>
      <c r="G14" s="1">
        <f t="shared" si="0"/>
        <v>0.75377186690999998</v>
      </c>
      <c r="H14">
        <f t="shared" si="1"/>
        <v>0.24622813309000002</v>
      </c>
      <c r="I14">
        <f t="shared" si="2"/>
        <v>24.622813309000001</v>
      </c>
    </row>
    <row r="15" spans="1:9" x14ac:dyDescent="0.2">
      <c r="A15" s="1" t="s">
        <v>1200</v>
      </c>
      <c r="B15" s="1" t="s">
        <v>1201</v>
      </c>
      <c r="C15" s="1" t="s">
        <v>1176</v>
      </c>
      <c r="D15" s="1" t="s">
        <v>1177</v>
      </c>
      <c r="E15" s="1">
        <v>0.74808280900000002</v>
      </c>
      <c r="F15" s="1">
        <v>0.105629244</v>
      </c>
      <c r="G15" s="1">
        <f t="shared" si="0"/>
        <v>0.75806558435999993</v>
      </c>
      <c r="H15">
        <f t="shared" si="1"/>
        <v>0.24193441564000007</v>
      </c>
      <c r="I15">
        <f t="shared" si="2"/>
        <v>24.193441564000008</v>
      </c>
    </row>
    <row r="16" spans="1:9" x14ac:dyDescent="0.2">
      <c r="A16" s="1" t="s">
        <v>20</v>
      </c>
      <c r="B16" s="1" t="s">
        <v>21</v>
      </c>
      <c r="C16" s="1" t="s">
        <v>6</v>
      </c>
      <c r="D16" s="1" t="s">
        <v>7</v>
      </c>
      <c r="E16" s="1">
        <v>0.84046636500000005</v>
      </c>
      <c r="F16" s="1">
        <v>5.9437932999999998E-2</v>
      </c>
      <c r="G16" s="1">
        <f t="shared" si="0"/>
        <v>0.45643475440999987</v>
      </c>
      <c r="H16">
        <f t="shared" si="1"/>
        <v>0.54356524559000019</v>
      </c>
      <c r="I16">
        <f t="shared" si="2"/>
        <v>54.356524559000022</v>
      </c>
    </row>
    <row r="17" spans="1:9" x14ac:dyDescent="0.2">
      <c r="A17" s="1" t="s">
        <v>22</v>
      </c>
      <c r="B17" s="1" t="s">
        <v>23</v>
      </c>
      <c r="C17" s="1" t="s">
        <v>18</v>
      </c>
      <c r="D17" s="1" t="s">
        <v>19</v>
      </c>
      <c r="E17" s="1">
        <v>0.77508129800000003</v>
      </c>
      <c r="F17" s="1">
        <v>0.10538723</v>
      </c>
      <c r="G17" s="1">
        <f t="shared" si="0"/>
        <v>0.71194093845999995</v>
      </c>
      <c r="H17">
        <f t="shared" si="1"/>
        <v>0.28805906154000005</v>
      </c>
      <c r="I17">
        <f t="shared" si="2"/>
        <v>28.805906154000006</v>
      </c>
    </row>
    <row r="18" spans="1:9" x14ac:dyDescent="0.2">
      <c r="A18" s="1" t="s">
        <v>24</v>
      </c>
      <c r="B18" s="1" t="s">
        <v>25</v>
      </c>
      <c r="C18" s="1" t="s">
        <v>6</v>
      </c>
      <c r="D18" s="1" t="s">
        <v>7</v>
      </c>
      <c r="E18" s="1">
        <v>0.82957609300000001</v>
      </c>
      <c r="F18" s="1">
        <v>6.8313736E-2</v>
      </c>
      <c r="G18" s="1">
        <f t="shared" si="0"/>
        <v>0.5028667068799999</v>
      </c>
      <c r="H18">
        <f t="shared" si="1"/>
        <v>0.4971332931200001</v>
      </c>
      <c r="I18">
        <f t="shared" si="2"/>
        <v>49.713329312000013</v>
      </c>
    </row>
    <row r="19" spans="1:9" x14ac:dyDescent="0.2">
      <c r="A19" s="1" t="s">
        <v>26</v>
      </c>
      <c r="B19" s="1" t="s">
        <v>27</v>
      </c>
      <c r="C19" s="1" t="s">
        <v>14</v>
      </c>
      <c r="D19" s="1" t="s">
        <v>15</v>
      </c>
      <c r="E19" s="1">
        <v>0.80073970400000005</v>
      </c>
      <c r="F19" s="1">
        <v>9.3872450999999996E-2</v>
      </c>
      <c r="G19" s="1">
        <f t="shared" si="0"/>
        <v>0.63233296694999996</v>
      </c>
      <c r="H19">
        <f t="shared" si="1"/>
        <v>0.36766703305000004</v>
      </c>
      <c r="I19">
        <f t="shared" si="2"/>
        <v>36.766703305000007</v>
      </c>
    </row>
    <row r="20" spans="1:9" x14ac:dyDescent="0.2">
      <c r="A20" s="1" t="s">
        <v>28</v>
      </c>
      <c r="B20" s="1" t="s">
        <v>29</v>
      </c>
      <c r="C20" s="1" t="s">
        <v>6</v>
      </c>
      <c r="D20" s="1" t="s">
        <v>7</v>
      </c>
      <c r="E20" s="1">
        <v>0.85535234699999996</v>
      </c>
      <c r="F20" s="1">
        <v>5.3843202E-2</v>
      </c>
      <c r="G20" s="1">
        <f t="shared" si="0"/>
        <v>0.41369100738000009</v>
      </c>
      <c r="H20">
        <f t="shared" si="1"/>
        <v>0.58630899261999991</v>
      </c>
      <c r="I20">
        <f t="shared" si="2"/>
        <v>58.630899261999993</v>
      </c>
    </row>
    <row r="21" spans="1:9" x14ac:dyDescent="0.2">
      <c r="A21" s="1" t="s">
        <v>1280</v>
      </c>
      <c r="B21" s="1" t="s">
        <v>1281</v>
      </c>
      <c r="C21" s="1" t="s">
        <v>1176</v>
      </c>
      <c r="D21" s="1" t="s">
        <v>1177</v>
      </c>
      <c r="E21" s="1">
        <v>0.71549080600000003</v>
      </c>
      <c r="F21" s="1">
        <v>0.13468244600000001</v>
      </c>
      <c r="G21" s="1">
        <f t="shared" si="0"/>
        <v>0.90491879973999989</v>
      </c>
      <c r="H21">
        <f t="shared" si="1"/>
        <v>9.5081200260000109E-2</v>
      </c>
      <c r="I21">
        <f t="shared" si="2"/>
        <v>9.5081200260000109</v>
      </c>
    </row>
    <row r="22" spans="1:9" x14ac:dyDescent="0.2">
      <c r="A22" s="1" t="s">
        <v>30</v>
      </c>
      <c r="B22" s="1" t="s">
        <v>31</v>
      </c>
      <c r="C22" s="1" t="s">
        <v>6</v>
      </c>
      <c r="D22" s="1" t="s">
        <v>7</v>
      </c>
      <c r="E22" s="1">
        <v>0.84740195900000004</v>
      </c>
      <c r="F22" s="1">
        <v>5.7497147999999998E-2</v>
      </c>
      <c r="G22" s="1">
        <f t="shared" si="0"/>
        <v>0.43863066803999989</v>
      </c>
      <c r="H22">
        <f t="shared" si="1"/>
        <v>0.56136933196000016</v>
      </c>
      <c r="I22">
        <f t="shared" si="2"/>
        <v>56.136933196000015</v>
      </c>
    </row>
    <row r="23" spans="1:9" x14ac:dyDescent="0.2">
      <c r="A23" s="1" t="s">
        <v>1114</v>
      </c>
      <c r="B23" s="1" t="s">
        <v>1115</v>
      </c>
      <c r="C23" s="1" t="s">
        <v>1110</v>
      </c>
      <c r="D23" s="1" t="s">
        <v>1111</v>
      </c>
      <c r="E23" s="1">
        <v>0.79892482399999998</v>
      </c>
      <c r="F23" s="1">
        <v>8.6761901000000002E-2</v>
      </c>
      <c r="G23" s="1">
        <f t="shared" si="0"/>
        <v>0.61284152185000007</v>
      </c>
      <c r="H23">
        <f t="shared" si="1"/>
        <v>0.38715847814999993</v>
      </c>
      <c r="I23">
        <f t="shared" si="2"/>
        <v>38.715847814999989</v>
      </c>
    </row>
    <row r="24" spans="1:9" x14ac:dyDescent="0.2">
      <c r="A24" s="1" t="s">
        <v>32</v>
      </c>
      <c r="B24" s="1" t="s">
        <v>33</v>
      </c>
      <c r="C24" s="1" t="s">
        <v>34</v>
      </c>
      <c r="D24" s="1" t="s">
        <v>35</v>
      </c>
      <c r="E24" s="1">
        <v>0.87222006299999999</v>
      </c>
      <c r="F24" s="1">
        <v>6.0134812000000003E-2</v>
      </c>
      <c r="G24" s="1">
        <f t="shared" si="0"/>
        <v>0.40529764820000003</v>
      </c>
      <c r="H24">
        <f t="shared" si="1"/>
        <v>0.59470235179999997</v>
      </c>
      <c r="I24">
        <f t="shared" si="2"/>
        <v>59.470235179999996</v>
      </c>
    </row>
    <row r="25" spans="1:9" x14ac:dyDescent="0.2">
      <c r="A25" s="1" t="s">
        <v>36</v>
      </c>
      <c r="B25" s="1" t="s">
        <v>37</v>
      </c>
      <c r="C25" s="1" t="s">
        <v>38</v>
      </c>
      <c r="D25" s="1" t="s">
        <v>39</v>
      </c>
      <c r="E25" s="1">
        <v>0.78019138799999999</v>
      </c>
      <c r="F25" s="1">
        <v>0.10685167499999999</v>
      </c>
      <c r="G25" s="1">
        <f t="shared" si="0"/>
        <v>0.70799827791000003</v>
      </c>
      <c r="H25">
        <f t="shared" si="1"/>
        <v>0.29200172208999997</v>
      </c>
      <c r="I25">
        <f t="shared" si="2"/>
        <v>29.200172208999998</v>
      </c>
    </row>
    <row r="26" spans="1:9" x14ac:dyDescent="0.2">
      <c r="A26" s="1" t="s">
        <v>40</v>
      </c>
      <c r="B26" s="1" t="s">
        <v>41</v>
      </c>
      <c r="C26" s="1" t="s">
        <v>38</v>
      </c>
      <c r="D26" s="1" t="s">
        <v>39</v>
      </c>
      <c r="E26" s="1">
        <v>0.76570829200000001</v>
      </c>
      <c r="F26" s="1">
        <v>0.114537739</v>
      </c>
      <c r="G26" s="1">
        <f t="shared" si="0"/>
        <v>0.75669470207</v>
      </c>
      <c r="H26">
        <f t="shared" si="1"/>
        <v>0.24330529793</v>
      </c>
      <c r="I26">
        <f t="shared" si="2"/>
        <v>24.330529793</v>
      </c>
    </row>
    <row r="27" spans="1:9" x14ac:dyDescent="0.2">
      <c r="A27" s="1" t="s">
        <v>42</v>
      </c>
      <c r="B27" s="1" t="s">
        <v>43</v>
      </c>
      <c r="C27" s="1" t="s">
        <v>14</v>
      </c>
      <c r="D27" s="1" t="s">
        <v>15</v>
      </c>
      <c r="E27" s="1">
        <v>0.79098793899999997</v>
      </c>
      <c r="F27" s="1">
        <v>9.3641263000000002E-2</v>
      </c>
      <c r="G27" s="1">
        <f t="shared" si="0"/>
        <v>0.64798306619000001</v>
      </c>
      <c r="H27">
        <f t="shared" si="1"/>
        <v>0.35201693380999999</v>
      </c>
      <c r="I27">
        <f t="shared" si="2"/>
        <v>35.201693380999998</v>
      </c>
    </row>
    <row r="28" spans="1:9" x14ac:dyDescent="0.2">
      <c r="A28" s="1" t="s">
        <v>44</v>
      </c>
      <c r="B28" s="1" t="s">
        <v>45</v>
      </c>
      <c r="C28" s="1" t="s">
        <v>46</v>
      </c>
      <c r="D28" s="1" t="s">
        <v>47</v>
      </c>
      <c r="E28" s="1">
        <v>0.83581247299999994</v>
      </c>
      <c r="F28" s="1">
        <v>6.9619432999999994E-2</v>
      </c>
      <c r="G28" s="1">
        <f t="shared" si="0"/>
        <v>0.49652864797000007</v>
      </c>
      <c r="H28">
        <f t="shared" si="1"/>
        <v>0.50347135202999993</v>
      </c>
      <c r="I28">
        <f t="shared" si="2"/>
        <v>50.347135202999993</v>
      </c>
    </row>
    <row r="29" spans="1:9" x14ac:dyDescent="0.2">
      <c r="A29" s="1" t="s">
        <v>48</v>
      </c>
      <c r="B29" s="1" t="s">
        <v>49</v>
      </c>
      <c r="C29" s="1" t="s">
        <v>6</v>
      </c>
      <c r="D29" s="1" t="s">
        <v>7</v>
      </c>
      <c r="E29" s="1">
        <v>0.84507157499999996</v>
      </c>
      <c r="F29" s="1">
        <v>5.7050669999999998E-2</v>
      </c>
      <c r="G29" s="1">
        <f t="shared" si="0"/>
        <v>0.44113037789999998</v>
      </c>
      <c r="H29">
        <f t="shared" si="1"/>
        <v>0.55886962210000002</v>
      </c>
      <c r="I29">
        <f t="shared" si="2"/>
        <v>55.88696221</v>
      </c>
    </row>
    <row r="30" spans="1:9" x14ac:dyDescent="0.2">
      <c r="A30" s="1" t="s">
        <v>50</v>
      </c>
      <c r="B30" s="1" t="s">
        <v>51</v>
      </c>
      <c r="C30" s="1" t="s">
        <v>18</v>
      </c>
      <c r="D30" s="1" t="s">
        <v>19</v>
      </c>
      <c r="E30" s="1">
        <v>0.79497514400000002</v>
      </c>
      <c r="F30" s="1">
        <v>9.2272700999999999E-2</v>
      </c>
      <c r="G30" s="1">
        <f t="shared" si="0"/>
        <v>0.63694622024999992</v>
      </c>
      <c r="H30">
        <f t="shared" si="1"/>
        <v>0.36305377975000008</v>
      </c>
      <c r="I30">
        <f t="shared" si="2"/>
        <v>36.305377975000006</v>
      </c>
    </row>
    <row r="31" spans="1:9" x14ac:dyDescent="0.2">
      <c r="A31" s="1" t="s">
        <v>52</v>
      </c>
      <c r="B31" s="1" t="s">
        <v>53</v>
      </c>
      <c r="C31" s="1" t="s">
        <v>54</v>
      </c>
      <c r="D31" s="1" t="s">
        <v>55</v>
      </c>
      <c r="E31" s="1">
        <v>0.83821073899999998</v>
      </c>
      <c r="F31" s="1">
        <v>5.8353107000000001E-2</v>
      </c>
      <c r="G31" s="1">
        <f t="shared" si="0"/>
        <v>0.45678530767000003</v>
      </c>
      <c r="H31">
        <f t="shared" si="1"/>
        <v>0.54321469232999997</v>
      </c>
      <c r="I31">
        <f t="shared" si="2"/>
        <v>54.321469232999995</v>
      </c>
    </row>
    <row r="32" spans="1:9" x14ac:dyDescent="0.2">
      <c r="A32" s="1" t="s">
        <v>1202</v>
      </c>
      <c r="B32" s="1" t="s">
        <v>1203</v>
      </c>
      <c r="C32" s="1" t="s">
        <v>1176</v>
      </c>
      <c r="D32" s="1" t="s">
        <v>1177</v>
      </c>
      <c r="E32" s="1">
        <v>0.75883131299999995</v>
      </c>
      <c r="F32" s="1">
        <v>0.10868575699999999</v>
      </c>
      <c r="G32" s="1">
        <f t="shared" si="0"/>
        <v>0.74969724385000003</v>
      </c>
      <c r="H32">
        <f t="shared" si="1"/>
        <v>0.25030275614999997</v>
      </c>
      <c r="I32">
        <f t="shared" si="2"/>
        <v>25.030275614999997</v>
      </c>
    </row>
    <row r="33" spans="1:9" x14ac:dyDescent="0.2">
      <c r="A33" s="1" t="s">
        <v>56</v>
      </c>
      <c r="B33" s="1" t="s">
        <v>57</v>
      </c>
      <c r="C33" s="1" t="s">
        <v>34</v>
      </c>
      <c r="D33" s="1" t="s">
        <v>35</v>
      </c>
      <c r="E33" s="1">
        <v>0.89423032800000002</v>
      </c>
      <c r="F33" s="1">
        <v>4.2177470000000002E-2</v>
      </c>
      <c r="G33" s="1">
        <f t="shared" si="0"/>
        <v>0.31139562885999994</v>
      </c>
      <c r="H33">
        <f t="shared" si="1"/>
        <v>0.68860437114000006</v>
      </c>
      <c r="I33">
        <f t="shared" si="2"/>
        <v>68.860437114000007</v>
      </c>
    </row>
    <row r="34" spans="1:9" x14ac:dyDescent="0.2">
      <c r="A34" s="1" t="s">
        <v>58</v>
      </c>
      <c r="B34" s="1" t="s">
        <v>59</v>
      </c>
      <c r="C34" s="1" t="s">
        <v>6</v>
      </c>
      <c r="D34" s="1" t="s">
        <v>7</v>
      </c>
      <c r="E34" s="1">
        <v>0.86729965899999995</v>
      </c>
      <c r="F34" s="1">
        <v>5.2056015999999997E-2</v>
      </c>
      <c r="G34" s="1">
        <f t="shared" si="0"/>
        <v>0.38795414360000002</v>
      </c>
      <c r="H34">
        <f t="shared" si="1"/>
        <v>0.61204585639999998</v>
      </c>
      <c r="I34">
        <f t="shared" si="2"/>
        <v>61.204585639999998</v>
      </c>
    </row>
    <row r="35" spans="1:9" x14ac:dyDescent="0.2">
      <c r="A35" s="1" t="s">
        <v>60</v>
      </c>
      <c r="B35" s="1" t="s">
        <v>61</v>
      </c>
      <c r="C35" s="1" t="s">
        <v>34</v>
      </c>
      <c r="D35" s="1" t="s">
        <v>35</v>
      </c>
      <c r="E35" s="1">
        <v>0.86708352799999999</v>
      </c>
      <c r="F35" s="1">
        <v>5.1217919000000001E-2</v>
      </c>
      <c r="G35" s="1">
        <f t="shared" si="0"/>
        <v>0.38566047618999999</v>
      </c>
      <c r="H35">
        <f t="shared" si="1"/>
        <v>0.61433952381000001</v>
      </c>
      <c r="I35">
        <f t="shared" si="2"/>
        <v>61.433952380999997</v>
      </c>
    </row>
    <row r="36" spans="1:9" x14ac:dyDescent="0.2">
      <c r="A36" s="1" t="s">
        <v>62</v>
      </c>
      <c r="B36" s="1" t="s">
        <v>63</v>
      </c>
      <c r="C36" s="1" t="s">
        <v>46</v>
      </c>
      <c r="D36" s="1" t="s">
        <v>47</v>
      </c>
      <c r="E36" s="1">
        <v>0.83603874</v>
      </c>
      <c r="F36" s="1">
        <v>6.9758559999999997E-2</v>
      </c>
      <c r="G36" s="1">
        <f t="shared" si="0"/>
        <v>0.49658955199999999</v>
      </c>
      <c r="H36">
        <f t="shared" si="1"/>
        <v>0.50341044800000001</v>
      </c>
      <c r="I36">
        <f t="shared" si="2"/>
        <v>50.341044799999999</v>
      </c>
    </row>
    <row r="37" spans="1:9" x14ac:dyDescent="0.2">
      <c r="A37" s="1" t="s">
        <v>64</v>
      </c>
      <c r="B37" s="1" t="s">
        <v>65</v>
      </c>
      <c r="C37" s="1" t="s">
        <v>34</v>
      </c>
      <c r="D37" s="1" t="s">
        <v>35</v>
      </c>
      <c r="E37" s="1">
        <v>0.86794512899999998</v>
      </c>
      <c r="F37" s="1">
        <v>5.3760731999999999E-2</v>
      </c>
      <c r="G37" s="1">
        <f t="shared" si="0"/>
        <v>0.39227370372000003</v>
      </c>
      <c r="H37">
        <f t="shared" si="1"/>
        <v>0.60772629627999997</v>
      </c>
      <c r="I37">
        <f t="shared" si="2"/>
        <v>60.772629627999997</v>
      </c>
    </row>
    <row r="38" spans="1:9" x14ac:dyDescent="0.2">
      <c r="A38" s="1" t="s">
        <v>1282</v>
      </c>
      <c r="B38" s="1" t="s">
        <v>1283</v>
      </c>
      <c r="C38" s="1" t="s">
        <v>1176</v>
      </c>
      <c r="D38" s="1" t="s">
        <v>1177</v>
      </c>
      <c r="E38" s="1">
        <v>0.757514574</v>
      </c>
      <c r="F38" s="1">
        <v>9.8820654999999993E-2</v>
      </c>
      <c r="G38" s="1">
        <f t="shared" si="0"/>
        <v>0.72063699202999998</v>
      </c>
      <c r="H38">
        <f t="shared" si="1"/>
        <v>0.27936300797000002</v>
      </c>
      <c r="I38">
        <f t="shared" si="2"/>
        <v>27.936300797000001</v>
      </c>
    </row>
    <row r="39" spans="1:9" x14ac:dyDescent="0.2">
      <c r="A39" s="1" t="s">
        <v>66</v>
      </c>
      <c r="B39" s="1" t="s">
        <v>67</v>
      </c>
      <c r="C39" s="1" t="s">
        <v>34</v>
      </c>
      <c r="D39" s="1" t="s">
        <v>35</v>
      </c>
      <c r="E39" s="1">
        <v>0.86145034600000003</v>
      </c>
      <c r="F39" s="1">
        <v>6.2939821000000007E-2</v>
      </c>
      <c r="G39" s="1">
        <f t="shared" si="0"/>
        <v>0.43228265128999999</v>
      </c>
      <c r="H39">
        <f t="shared" si="1"/>
        <v>0.56771734871000001</v>
      </c>
      <c r="I39">
        <f t="shared" si="2"/>
        <v>56.771734871</v>
      </c>
    </row>
    <row r="40" spans="1:9" x14ac:dyDescent="0.2">
      <c r="A40" s="1" t="s">
        <v>68</v>
      </c>
      <c r="B40" s="1" t="s">
        <v>69</v>
      </c>
      <c r="C40" s="1" t="s">
        <v>38</v>
      </c>
      <c r="D40" s="1" t="s">
        <v>39</v>
      </c>
      <c r="E40" s="1">
        <v>0.81438403599999998</v>
      </c>
      <c r="F40" s="1">
        <v>7.6177069E-2</v>
      </c>
      <c r="G40" s="1">
        <f t="shared" si="0"/>
        <v>0.55331612824999998</v>
      </c>
      <c r="H40">
        <f t="shared" si="1"/>
        <v>0.44668387175000002</v>
      </c>
      <c r="I40">
        <f t="shared" si="2"/>
        <v>44.668387174999999</v>
      </c>
    </row>
    <row r="41" spans="1:9" x14ac:dyDescent="0.2">
      <c r="A41" s="1" t="s">
        <v>70</v>
      </c>
      <c r="B41" s="1" t="s">
        <v>71</v>
      </c>
      <c r="C41" s="1" t="s">
        <v>6</v>
      </c>
      <c r="D41" s="1" t="s">
        <v>7</v>
      </c>
      <c r="E41" s="1">
        <v>0.78504977099999995</v>
      </c>
      <c r="F41" s="1">
        <v>8.8621800000000001E-2</v>
      </c>
      <c r="G41" s="1">
        <f t="shared" si="0"/>
        <v>0.64204749072</v>
      </c>
      <c r="H41">
        <f t="shared" si="1"/>
        <v>0.35795250928</v>
      </c>
      <c r="I41">
        <f t="shared" si="2"/>
        <v>35.795250928000002</v>
      </c>
    </row>
    <row r="42" spans="1:9" x14ac:dyDescent="0.2">
      <c r="A42" s="1" t="s">
        <v>72</v>
      </c>
      <c r="B42" s="1" t="s">
        <v>73</v>
      </c>
      <c r="C42" s="1" t="s">
        <v>34</v>
      </c>
      <c r="D42" s="1" t="s">
        <v>35</v>
      </c>
      <c r="E42" s="1">
        <v>0.84826125299999999</v>
      </c>
      <c r="F42" s="1">
        <v>6.4755784999999996E-2</v>
      </c>
      <c r="G42" s="1">
        <f t="shared" si="0"/>
        <v>0.46019693340999995</v>
      </c>
      <c r="H42">
        <f t="shared" si="1"/>
        <v>0.53980306658999999</v>
      </c>
      <c r="I42">
        <f t="shared" si="2"/>
        <v>53.980306659</v>
      </c>
    </row>
    <row r="43" spans="1:9" x14ac:dyDescent="0.2">
      <c r="A43" s="1" t="s">
        <v>74</v>
      </c>
      <c r="B43" s="1" t="s">
        <v>75</v>
      </c>
      <c r="C43" s="1" t="s">
        <v>6</v>
      </c>
      <c r="D43" s="1" t="s">
        <v>7</v>
      </c>
      <c r="E43" s="1">
        <v>0.85815539699999999</v>
      </c>
      <c r="F43" s="1">
        <v>5.0158164999999998E-2</v>
      </c>
      <c r="G43" s="1">
        <f t="shared" si="0"/>
        <v>0.39730031609000005</v>
      </c>
      <c r="H43">
        <f t="shared" si="1"/>
        <v>0.60269968390999995</v>
      </c>
      <c r="I43">
        <f t="shared" si="2"/>
        <v>60.269968390999992</v>
      </c>
    </row>
    <row r="44" spans="1:9" x14ac:dyDescent="0.2">
      <c r="A44" s="1" t="s">
        <v>76</v>
      </c>
      <c r="B44" s="1" t="s">
        <v>77</v>
      </c>
      <c r="C44" s="1" t="s">
        <v>14</v>
      </c>
      <c r="D44" s="1" t="s">
        <v>15</v>
      </c>
      <c r="E44" s="1">
        <v>0.75221817800000002</v>
      </c>
      <c r="F44" s="1">
        <v>0.12665415399999999</v>
      </c>
      <c r="G44" s="1">
        <f t="shared" si="0"/>
        <v>0.81776712913999994</v>
      </c>
      <c r="H44">
        <f t="shared" si="1"/>
        <v>0.18223287086000006</v>
      </c>
      <c r="I44">
        <f t="shared" si="2"/>
        <v>18.223287086000006</v>
      </c>
    </row>
    <row r="45" spans="1:9" x14ac:dyDescent="0.2">
      <c r="A45" s="1" t="s">
        <v>78</v>
      </c>
      <c r="B45" s="1" t="s">
        <v>79</v>
      </c>
      <c r="C45" s="1" t="s">
        <v>10</v>
      </c>
      <c r="D45" s="1" t="s">
        <v>11</v>
      </c>
      <c r="E45" s="1">
        <v>0.82803846999999997</v>
      </c>
      <c r="F45" s="1">
        <v>7.5989441000000005E-2</v>
      </c>
      <c r="G45" s="1">
        <f t="shared" si="0"/>
        <v>0.52978189837</v>
      </c>
      <c r="H45">
        <f t="shared" si="1"/>
        <v>0.47021810163</v>
      </c>
      <c r="I45">
        <f t="shared" si="2"/>
        <v>47.021810162999998</v>
      </c>
    </row>
    <row r="46" spans="1:9" x14ac:dyDescent="0.2">
      <c r="A46" s="1" t="s">
        <v>80</v>
      </c>
      <c r="B46" s="1" t="s">
        <v>81</v>
      </c>
      <c r="C46" s="1" t="s">
        <v>10</v>
      </c>
      <c r="D46" s="1" t="s">
        <v>11</v>
      </c>
      <c r="E46" s="1">
        <v>0.797965857</v>
      </c>
      <c r="F46" s="1">
        <v>9.8010219999999995E-2</v>
      </c>
      <c r="G46" s="1">
        <f t="shared" si="0"/>
        <v>0.6501097576399999</v>
      </c>
      <c r="H46">
        <f t="shared" si="1"/>
        <v>0.3498902423600001</v>
      </c>
      <c r="I46">
        <f t="shared" si="2"/>
        <v>34.989024236000013</v>
      </c>
    </row>
    <row r="47" spans="1:9" x14ac:dyDescent="0.2">
      <c r="A47" s="1" t="s">
        <v>82</v>
      </c>
      <c r="B47" s="1" t="s">
        <v>83</v>
      </c>
      <c r="C47" s="1" t="s">
        <v>10</v>
      </c>
      <c r="D47" s="1" t="s">
        <v>11</v>
      </c>
      <c r="E47" s="1">
        <v>0.83882078100000002</v>
      </c>
      <c r="F47" s="1">
        <v>7.8083173000000006E-2</v>
      </c>
      <c r="G47" s="1">
        <f t="shared" si="0"/>
        <v>0.5183047463299999</v>
      </c>
      <c r="H47">
        <f t="shared" si="1"/>
        <v>0.4816952536700001</v>
      </c>
      <c r="I47">
        <f t="shared" si="2"/>
        <v>48.169525367000013</v>
      </c>
    </row>
    <row r="48" spans="1:9" x14ac:dyDescent="0.2">
      <c r="A48" s="1" t="s">
        <v>84</v>
      </c>
      <c r="B48" s="1" t="s">
        <v>85</v>
      </c>
      <c r="C48" s="1" t="s">
        <v>10</v>
      </c>
      <c r="D48" s="1" t="s">
        <v>11</v>
      </c>
      <c r="E48" s="1">
        <v>0.81561797300000005</v>
      </c>
      <c r="F48" s="1">
        <v>9.2710249999999994E-2</v>
      </c>
      <c r="G48" s="1">
        <f t="shared" si="0"/>
        <v>0.60365329785999988</v>
      </c>
      <c r="H48">
        <f t="shared" si="1"/>
        <v>0.39634670214000012</v>
      </c>
      <c r="I48">
        <f t="shared" si="2"/>
        <v>39.63467021400001</v>
      </c>
    </row>
    <row r="49" spans="1:9" x14ac:dyDescent="0.2">
      <c r="A49" s="1" t="s">
        <v>86</v>
      </c>
      <c r="B49" s="1" t="s">
        <v>87</v>
      </c>
      <c r="C49" s="1" t="s">
        <v>10</v>
      </c>
      <c r="D49" s="1" t="s">
        <v>11</v>
      </c>
      <c r="E49" s="1">
        <v>0.85928950100000001</v>
      </c>
      <c r="F49" s="1">
        <v>6.6032331E-2</v>
      </c>
      <c r="G49" s="1">
        <f t="shared" si="0"/>
        <v>0.44571612758999996</v>
      </c>
      <c r="H49">
        <f t="shared" si="1"/>
        <v>0.5542838724100001</v>
      </c>
      <c r="I49">
        <f t="shared" si="2"/>
        <v>55.42838724100001</v>
      </c>
    </row>
    <row r="50" spans="1:9" x14ac:dyDescent="0.2">
      <c r="A50" s="1" t="s">
        <v>88</v>
      </c>
      <c r="B50" s="1" t="s">
        <v>89</v>
      </c>
      <c r="C50" s="1" t="s">
        <v>10</v>
      </c>
      <c r="D50" s="1" t="s">
        <v>11</v>
      </c>
      <c r="E50" s="1">
        <v>0.78434519599999997</v>
      </c>
      <c r="F50" s="1">
        <v>9.8378298000000003E-2</v>
      </c>
      <c r="G50" s="1">
        <f t="shared" si="0"/>
        <v>0.67415927538000009</v>
      </c>
      <c r="H50">
        <f t="shared" si="1"/>
        <v>0.32584072461999991</v>
      </c>
      <c r="I50">
        <f t="shared" si="2"/>
        <v>32.584072461999995</v>
      </c>
    </row>
    <row r="51" spans="1:9" x14ac:dyDescent="0.2">
      <c r="A51" s="1" t="s">
        <v>90</v>
      </c>
      <c r="B51" s="1" t="s">
        <v>91</v>
      </c>
      <c r="C51" s="1" t="s">
        <v>10</v>
      </c>
      <c r="D51" s="1" t="s">
        <v>11</v>
      </c>
      <c r="E51" s="1">
        <v>0.85081363200000004</v>
      </c>
      <c r="F51" s="1">
        <v>7.3066855E-2</v>
      </c>
      <c r="G51" s="1">
        <f t="shared" si="0"/>
        <v>0.48225502858999991</v>
      </c>
      <c r="H51">
        <f t="shared" si="1"/>
        <v>0.51774497141000009</v>
      </c>
      <c r="I51">
        <f t="shared" si="2"/>
        <v>51.774497141000012</v>
      </c>
    </row>
    <row r="52" spans="1:9" x14ac:dyDescent="0.2">
      <c r="A52" s="1" t="s">
        <v>92</v>
      </c>
      <c r="B52" s="1" t="s">
        <v>93</v>
      </c>
      <c r="C52" s="1" t="s">
        <v>10</v>
      </c>
      <c r="D52" s="1" t="s">
        <v>11</v>
      </c>
      <c r="E52" s="1">
        <v>0.80897086900000004</v>
      </c>
      <c r="F52" s="1">
        <v>8.0356315999999997E-2</v>
      </c>
      <c r="G52" s="1">
        <f t="shared" si="0"/>
        <v>0.57565846179999991</v>
      </c>
      <c r="H52">
        <f t="shared" si="1"/>
        <v>0.42434153820000009</v>
      </c>
      <c r="I52">
        <f t="shared" si="2"/>
        <v>42.434153820000006</v>
      </c>
    </row>
    <row r="53" spans="1:9" x14ac:dyDescent="0.2">
      <c r="A53" s="1" t="s">
        <v>94</v>
      </c>
      <c r="B53" s="1" t="s">
        <v>95</v>
      </c>
      <c r="C53" s="1" t="s">
        <v>10</v>
      </c>
      <c r="D53" s="1" t="s">
        <v>11</v>
      </c>
      <c r="E53" s="1">
        <v>0.82770710700000005</v>
      </c>
      <c r="F53" s="1">
        <v>8.3397935000000006E-2</v>
      </c>
      <c r="G53" s="1">
        <f t="shared" si="0"/>
        <v>0.55382351418999987</v>
      </c>
      <c r="H53">
        <f t="shared" si="1"/>
        <v>0.44617648581000013</v>
      </c>
      <c r="I53">
        <f t="shared" si="2"/>
        <v>44.617648581000012</v>
      </c>
    </row>
    <row r="54" spans="1:9" x14ac:dyDescent="0.2">
      <c r="A54" s="1" t="s">
        <v>96</v>
      </c>
      <c r="B54" s="1" t="s">
        <v>97</v>
      </c>
      <c r="C54" s="1" t="s">
        <v>98</v>
      </c>
      <c r="D54" s="1" t="s">
        <v>99</v>
      </c>
      <c r="E54" s="1">
        <v>0.766395041</v>
      </c>
      <c r="F54" s="1">
        <v>0.10664904</v>
      </c>
      <c r="G54" s="1">
        <f t="shared" si="0"/>
        <v>0.73053378792000001</v>
      </c>
      <c r="H54">
        <f t="shared" si="1"/>
        <v>0.26946621207999999</v>
      </c>
      <c r="I54">
        <f t="shared" si="2"/>
        <v>26.946621208</v>
      </c>
    </row>
    <row r="55" spans="1:9" x14ac:dyDescent="0.2">
      <c r="A55" s="1" t="s">
        <v>100</v>
      </c>
      <c r="B55" s="1" t="s">
        <v>101</v>
      </c>
      <c r="C55" s="1" t="s">
        <v>14</v>
      </c>
      <c r="D55" s="1" t="s">
        <v>15</v>
      </c>
      <c r="E55" s="1">
        <v>0.81876167600000005</v>
      </c>
      <c r="F55" s="1">
        <v>9.2687483000000001E-2</v>
      </c>
      <c r="G55" s="1">
        <f t="shared" si="0"/>
        <v>0.59829970542999988</v>
      </c>
      <c r="H55">
        <f t="shared" si="1"/>
        <v>0.40170029457000012</v>
      </c>
      <c r="I55">
        <f t="shared" si="2"/>
        <v>40.170029457000012</v>
      </c>
    </row>
    <row r="56" spans="1:9" x14ac:dyDescent="0.2">
      <c r="A56" s="1" t="s">
        <v>102</v>
      </c>
      <c r="B56" s="1" t="s">
        <v>103</v>
      </c>
      <c r="C56" s="1" t="s">
        <v>14</v>
      </c>
      <c r="D56" s="1" t="s">
        <v>15</v>
      </c>
      <c r="E56" s="1">
        <v>0.81075443599999997</v>
      </c>
      <c r="F56" s="1">
        <v>9.7160143000000004E-2</v>
      </c>
      <c r="G56" s="1">
        <f t="shared" si="0"/>
        <v>0.62593020083000006</v>
      </c>
      <c r="H56">
        <f t="shared" si="1"/>
        <v>0.37406979916999994</v>
      </c>
      <c r="I56">
        <f t="shared" si="2"/>
        <v>37.406979916999994</v>
      </c>
    </row>
    <row r="57" spans="1:9" x14ac:dyDescent="0.2">
      <c r="A57" s="1" t="s">
        <v>104</v>
      </c>
      <c r="B57" s="1" t="s">
        <v>105</v>
      </c>
      <c r="C57" s="1" t="s">
        <v>14</v>
      </c>
      <c r="D57" s="1" t="s">
        <v>15</v>
      </c>
      <c r="E57" s="1">
        <v>0.75820474500000001</v>
      </c>
      <c r="F57" s="1">
        <v>0.114098057</v>
      </c>
      <c r="G57" s="1">
        <f t="shared" si="0"/>
        <v>0.76790686908999994</v>
      </c>
      <c r="H57">
        <f t="shared" si="1"/>
        <v>0.23209313091000006</v>
      </c>
      <c r="I57">
        <f t="shared" si="2"/>
        <v>23.209313091000006</v>
      </c>
    </row>
    <row r="58" spans="1:9" x14ac:dyDescent="0.2">
      <c r="A58" s="1" t="s">
        <v>106</v>
      </c>
      <c r="B58" s="1" t="s">
        <v>107</v>
      </c>
      <c r="C58" s="1" t="s">
        <v>14</v>
      </c>
      <c r="D58" s="1" t="s">
        <v>15</v>
      </c>
      <c r="E58" s="1">
        <v>0.746913524</v>
      </c>
      <c r="F58" s="1">
        <v>0.124957735</v>
      </c>
      <c r="G58" s="1">
        <f t="shared" si="0"/>
        <v>0.82130129962999998</v>
      </c>
      <c r="H58">
        <f t="shared" si="1"/>
        <v>0.17869870037000002</v>
      </c>
      <c r="I58">
        <f t="shared" si="2"/>
        <v>17.869870037000002</v>
      </c>
    </row>
    <row r="59" spans="1:9" x14ac:dyDescent="0.2">
      <c r="A59" s="1" t="s">
        <v>1116</v>
      </c>
      <c r="B59" s="1" t="s">
        <v>1117</v>
      </c>
      <c r="C59" s="1" t="s">
        <v>1110</v>
      </c>
      <c r="D59" s="1" t="s">
        <v>1111</v>
      </c>
      <c r="E59" s="1">
        <v>0.74476424500000005</v>
      </c>
      <c r="F59" s="1">
        <v>0.13838070299999999</v>
      </c>
      <c r="G59" s="1">
        <f t="shared" si="0"/>
        <v>0.86746289690999989</v>
      </c>
      <c r="H59">
        <f t="shared" si="1"/>
        <v>0.13253710309000011</v>
      </c>
      <c r="I59">
        <f t="shared" si="2"/>
        <v>13.253710309000011</v>
      </c>
    </row>
    <row r="60" spans="1:9" x14ac:dyDescent="0.2">
      <c r="A60" s="1" t="s">
        <v>108</v>
      </c>
      <c r="B60" s="1" t="s">
        <v>109</v>
      </c>
      <c r="C60" s="1" t="s">
        <v>98</v>
      </c>
      <c r="D60" s="1" t="s">
        <v>99</v>
      </c>
      <c r="E60" s="1">
        <v>0.78662034199999997</v>
      </c>
      <c r="F60" s="1">
        <v>9.6856664999999995E-2</v>
      </c>
      <c r="G60" s="1">
        <f t="shared" si="0"/>
        <v>0.66551345349000002</v>
      </c>
      <c r="H60">
        <f t="shared" si="1"/>
        <v>0.33448654650999998</v>
      </c>
      <c r="I60">
        <f t="shared" si="2"/>
        <v>33.448654650999998</v>
      </c>
    </row>
    <row r="61" spans="1:9" x14ac:dyDescent="0.2">
      <c r="A61" s="1" t="s">
        <v>110</v>
      </c>
      <c r="B61" s="1" t="s">
        <v>111</v>
      </c>
      <c r="C61" s="1" t="s">
        <v>98</v>
      </c>
      <c r="D61" s="1" t="s">
        <v>99</v>
      </c>
      <c r="E61" s="1">
        <v>0.76446313600000004</v>
      </c>
      <c r="F61" s="1">
        <v>0.10937223</v>
      </c>
      <c r="G61" s="1">
        <f t="shared" si="0"/>
        <v>0.74241190061999995</v>
      </c>
      <c r="H61">
        <f t="shared" si="1"/>
        <v>0.25758809938000005</v>
      </c>
      <c r="I61">
        <f t="shared" si="2"/>
        <v>25.758809938000006</v>
      </c>
    </row>
    <row r="62" spans="1:9" x14ac:dyDescent="0.2">
      <c r="A62" s="1" t="s">
        <v>112</v>
      </c>
      <c r="B62" s="1" t="s">
        <v>113</v>
      </c>
      <c r="C62" s="1" t="s">
        <v>6</v>
      </c>
      <c r="D62" s="1" t="s">
        <v>7</v>
      </c>
      <c r="E62" s="1">
        <v>0.79625253399999996</v>
      </c>
      <c r="F62" s="1">
        <v>8.3225138000000004E-2</v>
      </c>
      <c r="G62" s="1">
        <f t="shared" si="0"/>
        <v>0.60611943034000015</v>
      </c>
      <c r="H62">
        <f t="shared" si="1"/>
        <v>0.39388056965999985</v>
      </c>
      <c r="I62">
        <f t="shared" si="2"/>
        <v>39.388056965999986</v>
      </c>
    </row>
    <row r="63" spans="1:9" x14ac:dyDescent="0.2">
      <c r="A63" s="1" t="s">
        <v>114</v>
      </c>
      <c r="B63" s="1" t="s">
        <v>115</v>
      </c>
      <c r="C63" s="1" t="s">
        <v>18</v>
      </c>
      <c r="D63" s="1" t="s">
        <v>19</v>
      </c>
      <c r="E63" s="1">
        <v>0.77031438799999996</v>
      </c>
      <c r="F63" s="1">
        <v>0.10778431199999999</v>
      </c>
      <c r="G63" s="1">
        <f t="shared" si="0"/>
        <v>0.72754809720000002</v>
      </c>
      <c r="H63">
        <f t="shared" si="1"/>
        <v>0.27245190279999998</v>
      </c>
      <c r="I63">
        <f t="shared" si="2"/>
        <v>27.245190279999999</v>
      </c>
    </row>
    <row r="64" spans="1:9" x14ac:dyDescent="0.2">
      <c r="A64" s="1" t="s">
        <v>116</v>
      </c>
      <c r="B64" s="1" t="s">
        <v>117</v>
      </c>
      <c r="C64" s="1" t="s">
        <v>14</v>
      </c>
      <c r="D64" s="1" t="s">
        <v>15</v>
      </c>
      <c r="E64" s="1">
        <v>0.81052160299999998</v>
      </c>
      <c r="F64" s="1">
        <v>8.9301075999999993E-2</v>
      </c>
      <c r="G64" s="1">
        <f t="shared" si="0"/>
        <v>0.60140811787999993</v>
      </c>
      <c r="H64">
        <f t="shared" si="1"/>
        <v>0.39859188212000007</v>
      </c>
      <c r="I64">
        <f t="shared" si="2"/>
        <v>39.859188212000007</v>
      </c>
    </row>
    <row r="65" spans="1:9" x14ac:dyDescent="0.2">
      <c r="A65" s="1" t="s">
        <v>118</v>
      </c>
      <c r="B65" s="1" t="s">
        <v>119</v>
      </c>
      <c r="C65" s="1" t="s">
        <v>14</v>
      </c>
      <c r="D65" s="1" t="s">
        <v>15</v>
      </c>
      <c r="E65" s="1">
        <v>0.812799508</v>
      </c>
      <c r="F65" s="1">
        <v>9.3867375000000003E-2</v>
      </c>
      <c r="G65" s="1">
        <f t="shared" si="0"/>
        <v>0.61205640530999994</v>
      </c>
      <c r="H65">
        <f t="shared" si="1"/>
        <v>0.38794359469000006</v>
      </c>
      <c r="I65">
        <f t="shared" si="2"/>
        <v>38.794359469000007</v>
      </c>
    </row>
    <row r="66" spans="1:9" x14ac:dyDescent="0.2">
      <c r="A66" s="1" t="s">
        <v>120</v>
      </c>
      <c r="B66" s="1" t="s">
        <v>121</v>
      </c>
      <c r="C66" s="1" t="s">
        <v>14</v>
      </c>
      <c r="D66" s="1" t="s">
        <v>15</v>
      </c>
      <c r="E66" s="1">
        <v>0.82353719299999995</v>
      </c>
      <c r="F66" s="1">
        <v>7.9831078E-2</v>
      </c>
      <c r="G66" s="1">
        <f t="shared" si="0"/>
        <v>0.54952203302000013</v>
      </c>
      <c r="H66">
        <f t="shared" si="1"/>
        <v>0.45047796697999987</v>
      </c>
      <c r="I66">
        <f t="shared" si="2"/>
        <v>45.047796697999985</v>
      </c>
    </row>
    <row r="67" spans="1:9" x14ac:dyDescent="0.2">
      <c r="A67" s="1" t="s">
        <v>122</v>
      </c>
      <c r="B67" s="1" t="s">
        <v>123</v>
      </c>
      <c r="C67" s="1" t="s">
        <v>14</v>
      </c>
      <c r="D67" s="1" t="s">
        <v>15</v>
      </c>
      <c r="E67" s="1">
        <v>0.76113116700000005</v>
      </c>
      <c r="F67" s="1">
        <v>0.122980411</v>
      </c>
      <c r="G67" s="1">
        <f t="shared" ref="G67:G130" si="3">1.68*(1-E67)+3.17*F67</f>
        <v>0.79114754230999984</v>
      </c>
      <c r="H67">
        <f t="shared" ref="H67:H130" si="4">1-G67</f>
        <v>0.20885245769000016</v>
      </c>
      <c r="I67">
        <f t="shared" ref="I67:I130" si="5">100*H67</f>
        <v>20.885245769000015</v>
      </c>
    </row>
    <row r="68" spans="1:9" x14ac:dyDescent="0.2">
      <c r="A68" s="1" t="s">
        <v>124</v>
      </c>
      <c r="B68" s="1" t="s">
        <v>125</v>
      </c>
      <c r="C68" s="1" t="s">
        <v>18</v>
      </c>
      <c r="D68" s="1" t="s">
        <v>19</v>
      </c>
      <c r="E68" s="1">
        <v>0.78649258099999997</v>
      </c>
      <c r="F68" s="1">
        <v>9.6808620999999997E-2</v>
      </c>
      <c r="G68" s="1">
        <f t="shared" si="3"/>
        <v>0.6655757924900001</v>
      </c>
      <c r="H68">
        <f t="shared" si="4"/>
        <v>0.3344242075099999</v>
      </c>
      <c r="I68">
        <f t="shared" si="5"/>
        <v>33.442420750999993</v>
      </c>
    </row>
    <row r="69" spans="1:9" x14ac:dyDescent="0.2">
      <c r="A69" s="1" t="s">
        <v>126</v>
      </c>
      <c r="B69" s="1" t="s">
        <v>127</v>
      </c>
      <c r="C69" s="1" t="s">
        <v>54</v>
      </c>
      <c r="D69" s="1" t="s">
        <v>55</v>
      </c>
      <c r="E69" s="1">
        <v>0.82091492300000002</v>
      </c>
      <c r="F69" s="1">
        <v>7.6006658000000005E-2</v>
      </c>
      <c r="G69" s="1">
        <f t="shared" si="3"/>
        <v>0.54180403521999998</v>
      </c>
      <c r="H69">
        <f t="shared" si="4"/>
        <v>0.45819596478000002</v>
      </c>
      <c r="I69">
        <f t="shared" si="5"/>
        <v>45.819596478000001</v>
      </c>
    </row>
    <row r="70" spans="1:9" x14ac:dyDescent="0.2">
      <c r="A70" s="1" t="s">
        <v>128</v>
      </c>
      <c r="B70" s="1" t="s">
        <v>129</v>
      </c>
      <c r="C70" s="1" t="s">
        <v>54</v>
      </c>
      <c r="D70" s="1" t="s">
        <v>55</v>
      </c>
      <c r="E70" s="1">
        <v>0.81144727800000005</v>
      </c>
      <c r="F70" s="1">
        <v>7.8267519999999993E-2</v>
      </c>
      <c r="G70" s="1">
        <f t="shared" si="3"/>
        <v>0.56487661135999989</v>
      </c>
      <c r="H70">
        <f t="shared" si="4"/>
        <v>0.43512338864000011</v>
      </c>
      <c r="I70">
        <f t="shared" si="5"/>
        <v>43.512338864000014</v>
      </c>
    </row>
    <row r="71" spans="1:9" x14ac:dyDescent="0.2">
      <c r="A71" s="1" t="s">
        <v>130</v>
      </c>
      <c r="B71" s="1" t="s">
        <v>131</v>
      </c>
      <c r="C71" s="1" t="s">
        <v>6</v>
      </c>
      <c r="D71" s="1" t="s">
        <v>7</v>
      </c>
      <c r="E71" s="1">
        <v>0.86156279800000002</v>
      </c>
      <c r="F71" s="1">
        <v>4.9361852999999997E-2</v>
      </c>
      <c r="G71" s="1">
        <f t="shared" si="3"/>
        <v>0.38905157336999996</v>
      </c>
      <c r="H71">
        <f t="shared" si="4"/>
        <v>0.61094842663000004</v>
      </c>
      <c r="I71">
        <f t="shared" si="5"/>
        <v>61.094842663000001</v>
      </c>
    </row>
    <row r="72" spans="1:9" x14ac:dyDescent="0.2">
      <c r="A72" s="1" t="s">
        <v>132</v>
      </c>
      <c r="B72" s="1" t="s">
        <v>133</v>
      </c>
      <c r="C72" s="1" t="s">
        <v>38</v>
      </c>
      <c r="D72" s="1" t="s">
        <v>39</v>
      </c>
      <c r="E72" s="1">
        <v>0.83545952700000004</v>
      </c>
      <c r="F72" s="1">
        <v>8.1450854000000003E-2</v>
      </c>
      <c r="G72" s="1">
        <f t="shared" si="3"/>
        <v>0.53462720182000001</v>
      </c>
      <c r="H72">
        <f t="shared" si="4"/>
        <v>0.46537279817999999</v>
      </c>
      <c r="I72">
        <f t="shared" si="5"/>
        <v>46.537279818000002</v>
      </c>
    </row>
    <row r="73" spans="1:9" x14ac:dyDescent="0.2">
      <c r="A73" s="1" t="s">
        <v>134</v>
      </c>
      <c r="B73" s="1" t="s">
        <v>135</v>
      </c>
      <c r="C73" s="1" t="s">
        <v>38</v>
      </c>
      <c r="D73" s="1" t="s">
        <v>39</v>
      </c>
      <c r="E73" s="1">
        <v>0.81580970500000005</v>
      </c>
      <c r="F73" s="1">
        <v>8.7120865000000006E-2</v>
      </c>
      <c r="G73" s="1">
        <f t="shared" si="3"/>
        <v>0.58561283764999983</v>
      </c>
      <c r="H73">
        <f t="shared" si="4"/>
        <v>0.41438716235000017</v>
      </c>
      <c r="I73">
        <f t="shared" si="5"/>
        <v>41.438716235000015</v>
      </c>
    </row>
    <row r="74" spans="1:9" x14ac:dyDescent="0.2">
      <c r="A74" s="1" t="s">
        <v>136</v>
      </c>
      <c r="B74" s="1" t="s">
        <v>137</v>
      </c>
      <c r="C74" s="1" t="s">
        <v>38</v>
      </c>
      <c r="D74" s="1" t="s">
        <v>39</v>
      </c>
      <c r="E74" s="1">
        <v>0.83852334100000003</v>
      </c>
      <c r="F74" s="1">
        <v>8.3078571000000004E-2</v>
      </c>
      <c r="G74" s="1">
        <f t="shared" si="3"/>
        <v>0.53463985718999996</v>
      </c>
      <c r="H74">
        <f t="shared" si="4"/>
        <v>0.46536014281000004</v>
      </c>
      <c r="I74">
        <f t="shared" si="5"/>
        <v>46.536014281000007</v>
      </c>
    </row>
    <row r="75" spans="1:9" x14ac:dyDescent="0.2">
      <c r="A75" s="1" t="s">
        <v>138</v>
      </c>
      <c r="B75" s="1" t="s">
        <v>139</v>
      </c>
      <c r="C75" s="1" t="s">
        <v>46</v>
      </c>
      <c r="D75" s="1" t="s">
        <v>47</v>
      </c>
      <c r="E75" s="1">
        <v>0.83540596300000003</v>
      </c>
      <c r="F75" s="1">
        <v>6.3350458999999998E-2</v>
      </c>
      <c r="G75" s="1">
        <f t="shared" si="3"/>
        <v>0.47733893718999998</v>
      </c>
      <c r="H75">
        <f t="shared" si="4"/>
        <v>0.52266106281000002</v>
      </c>
      <c r="I75">
        <f t="shared" si="5"/>
        <v>52.266106280999999</v>
      </c>
    </row>
    <row r="76" spans="1:9" x14ac:dyDescent="0.2">
      <c r="A76" s="1" t="s">
        <v>1118</v>
      </c>
      <c r="B76" s="1" t="s">
        <v>1119</v>
      </c>
      <c r="C76" s="1" t="s">
        <v>1110</v>
      </c>
      <c r="D76" s="1" t="s">
        <v>1111</v>
      </c>
      <c r="E76" s="1">
        <v>0.77944467399999995</v>
      </c>
      <c r="F76" s="1">
        <v>0.101310101</v>
      </c>
      <c r="G76" s="1">
        <f t="shared" si="3"/>
        <v>0.69168596785000003</v>
      </c>
      <c r="H76">
        <f t="shared" si="4"/>
        <v>0.30831403214999997</v>
      </c>
      <c r="I76">
        <f t="shared" si="5"/>
        <v>30.831403214999998</v>
      </c>
    </row>
    <row r="77" spans="1:9" x14ac:dyDescent="0.2">
      <c r="A77" s="1" t="s">
        <v>140</v>
      </c>
      <c r="B77" s="1" t="s">
        <v>141</v>
      </c>
      <c r="C77" s="1" t="s">
        <v>34</v>
      </c>
      <c r="D77" s="1" t="s">
        <v>35</v>
      </c>
      <c r="E77" s="1">
        <v>0.86792803500000004</v>
      </c>
      <c r="F77" s="1">
        <v>6.2255593999999997E-2</v>
      </c>
      <c r="G77" s="1">
        <f t="shared" si="3"/>
        <v>0.41923113417999991</v>
      </c>
      <c r="H77">
        <f t="shared" si="4"/>
        <v>0.58076886582000009</v>
      </c>
      <c r="I77">
        <f t="shared" si="5"/>
        <v>58.076886582000007</v>
      </c>
    </row>
    <row r="78" spans="1:9" x14ac:dyDescent="0.2">
      <c r="A78" s="1" t="s">
        <v>142</v>
      </c>
      <c r="B78" s="1" t="s">
        <v>143</v>
      </c>
      <c r="C78" s="1" t="s">
        <v>34</v>
      </c>
      <c r="D78" s="1" t="s">
        <v>35</v>
      </c>
      <c r="E78" s="1">
        <v>0.89168181599999996</v>
      </c>
      <c r="F78" s="1">
        <v>5.0407343E-2</v>
      </c>
      <c r="G78" s="1">
        <f t="shared" si="3"/>
        <v>0.34176582643000009</v>
      </c>
      <c r="H78">
        <f t="shared" si="4"/>
        <v>0.65823417356999991</v>
      </c>
      <c r="I78">
        <f t="shared" si="5"/>
        <v>65.823417356999997</v>
      </c>
    </row>
    <row r="79" spans="1:9" x14ac:dyDescent="0.2">
      <c r="A79" s="1" t="s">
        <v>144</v>
      </c>
      <c r="B79" s="1" t="s">
        <v>145</v>
      </c>
      <c r="C79" s="1" t="s">
        <v>34</v>
      </c>
      <c r="D79" s="1" t="s">
        <v>35</v>
      </c>
      <c r="E79" s="1">
        <v>0.87861132500000005</v>
      </c>
      <c r="F79" s="1">
        <v>5.2180194999999999E-2</v>
      </c>
      <c r="G79" s="1">
        <f t="shared" si="3"/>
        <v>0.36934419214999992</v>
      </c>
      <c r="H79">
        <f t="shared" si="4"/>
        <v>0.63065580785000008</v>
      </c>
      <c r="I79">
        <f t="shared" si="5"/>
        <v>63.065580785000009</v>
      </c>
    </row>
    <row r="80" spans="1:9" x14ac:dyDescent="0.2">
      <c r="A80" s="1" t="s">
        <v>146</v>
      </c>
      <c r="B80" s="1" t="s">
        <v>147</v>
      </c>
      <c r="C80" s="1" t="s">
        <v>46</v>
      </c>
      <c r="D80" s="1" t="s">
        <v>47</v>
      </c>
      <c r="E80" s="1">
        <v>0.85794655399999997</v>
      </c>
      <c r="F80" s="1">
        <v>5.7441039999999999E-2</v>
      </c>
      <c r="G80" s="1">
        <f t="shared" si="3"/>
        <v>0.42073788608000001</v>
      </c>
      <c r="H80">
        <f t="shared" si="4"/>
        <v>0.57926211392000004</v>
      </c>
      <c r="I80">
        <f t="shared" si="5"/>
        <v>57.926211392000006</v>
      </c>
    </row>
    <row r="81" spans="1:9" x14ac:dyDescent="0.2">
      <c r="A81" s="1" t="s">
        <v>1120</v>
      </c>
      <c r="B81" s="1" t="s">
        <v>1121</v>
      </c>
      <c r="C81" s="1" t="s">
        <v>1110</v>
      </c>
      <c r="D81" s="1" t="s">
        <v>1111</v>
      </c>
      <c r="E81" s="1">
        <v>0.784977119</v>
      </c>
      <c r="F81" s="1">
        <v>0.10246699300000001</v>
      </c>
      <c r="G81" s="1">
        <f t="shared" si="3"/>
        <v>0.68605880789000007</v>
      </c>
      <c r="H81">
        <f t="shared" si="4"/>
        <v>0.31394119210999993</v>
      </c>
      <c r="I81">
        <f t="shared" si="5"/>
        <v>31.394119210999992</v>
      </c>
    </row>
    <row r="82" spans="1:9" x14ac:dyDescent="0.2">
      <c r="A82" s="1" t="s">
        <v>148</v>
      </c>
      <c r="B82" s="1" t="s">
        <v>149</v>
      </c>
      <c r="C82" s="1" t="s">
        <v>54</v>
      </c>
      <c r="D82" s="1" t="s">
        <v>55</v>
      </c>
      <c r="E82" s="1">
        <v>0.80390713999999996</v>
      </c>
      <c r="F82" s="1">
        <v>8.1701157999999996E-2</v>
      </c>
      <c r="G82" s="1">
        <f t="shared" si="3"/>
        <v>0.58842867566000012</v>
      </c>
      <c r="H82">
        <f t="shared" si="4"/>
        <v>0.41157132433999988</v>
      </c>
      <c r="I82">
        <f t="shared" si="5"/>
        <v>41.15713243399999</v>
      </c>
    </row>
    <row r="83" spans="1:9" x14ac:dyDescent="0.2">
      <c r="A83" s="1" t="s">
        <v>150</v>
      </c>
      <c r="B83" s="1" t="s">
        <v>151</v>
      </c>
      <c r="C83" s="1" t="s">
        <v>38</v>
      </c>
      <c r="D83" s="1" t="s">
        <v>39</v>
      </c>
      <c r="E83" s="1">
        <v>0.77944924400000004</v>
      </c>
      <c r="F83" s="1">
        <v>9.5334772999999998E-2</v>
      </c>
      <c r="G83" s="1">
        <f t="shared" si="3"/>
        <v>0.67273650048999989</v>
      </c>
      <c r="H83">
        <f t="shared" si="4"/>
        <v>0.32726349951000011</v>
      </c>
      <c r="I83">
        <f t="shared" si="5"/>
        <v>32.72634995100001</v>
      </c>
    </row>
    <row r="84" spans="1:9" x14ac:dyDescent="0.2">
      <c r="A84" s="1" t="s">
        <v>152</v>
      </c>
      <c r="B84" s="1" t="s">
        <v>153</v>
      </c>
      <c r="C84" s="1" t="s">
        <v>38</v>
      </c>
      <c r="D84" s="1" t="s">
        <v>39</v>
      </c>
      <c r="E84" s="1">
        <v>0.81038198500000003</v>
      </c>
      <c r="F84" s="1">
        <v>8.0388362000000005E-2</v>
      </c>
      <c r="G84" s="1">
        <f t="shared" si="3"/>
        <v>0.5733893727399999</v>
      </c>
      <c r="H84">
        <f t="shared" si="4"/>
        <v>0.4266106272600001</v>
      </c>
      <c r="I84">
        <f t="shared" si="5"/>
        <v>42.661062726000011</v>
      </c>
    </row>
    <row r="85" spans="1:9" x14ac:dyDescent="0.2">
      <c r="A85" s="1" t="s">
        <v>154</v>
      </c>
      <c r="B85" s="1" t="s">
        <v>155</v>
      </c>
      <c r="C85" s="1" t="s">
        <v>6</v>
      </c>
      <c r="D85" s="1" t="s">
        <v>7</v>
      </c>
      <c r="E85" s="1">
        <v>0.78113990899999997</v>
      </c>
      <c r="F85" s="1">
        <v>9.3776211999999998E-2</v>
      </c>
      <c r="G85" s="1">
        <f t="shared" si="3"/>
        <v>0.66495554491999997</v>
      </c>
      <c r="H85">
        <f t="shared" si="4"/>
        <v>0.33504445508000003</v>
      </c>
      <c r="I85">
        <f t="shared" si="5"/>
        <v>33.504445508000003</v>
      </c>
    </row>
    <row r="86" spans="1:9" x14ac:dyDescent="0.2">
      <c r="A86" s="1" t="s">
        <v>156</v>
      </c>
      <c r="B86" s="1" t="s">
        <v>157</v>
      </c>
      <c r="C86" s="1" t="s">
        <v>6</v>
      </c>
      <c r="D86" s="1" t="s">
        <v>7</v>
      </c>
      <c r="E86" s="1">
        <v>0.82603378000000005</v>
      </c>
      <c r="F86" s="1">
        <v>6.0609589999999998E-2</v>
      </c>
      <c r="G86" s="1">
        <f t="shared" si="3"/>
        <v>0.48439564989999984</v>
      </c>
      <c r="H86">
        <f t="shared" si="4"/>
        <v>0.51560435010000016</v>
      </c>
      <c r="I86">
        <f t="shared" si="5"/>
        <v>51.560435010000013</v>
      </c>
    </row>
    <row r="87" spans="1:9" x14ac:dyDescent="0.2">
      <c r="A87" s="1" t="s">
        <v>158</v>
      </c>
      <c r="B87" s="1" t="s">
        <v>159</v>
      </c>
      <c r="C87" s="1" t="s">
        <v>54</v>
      </c>
      <c r="D87" s="1" t="s">
        <v>55</v>
      </c>
      <c r="E87" s="1">
        <v>0.86011917500000001</v>
      </c>
      <c r="F87" s="1">
        <v>3.7877492999999998E-2</v>
      </c>
      <c r="G87" s="1">
        <f t="shared" si="3"/>
        <v>0.35507143880999992</v>
      </c>
      <c r="H87">
        <f t="shared" si="4"/>
        <v>0.64492856119000008</v>
      </c>
      <c r="I87">
        <f t="shared" si="5"/>
        <v>64.49285611900001</v>
      </c>
    </row>
    <row r="88" spans="1:9" x14ac:dyDescent="0.2">
      <c r="A88" s="1" t="s">
        <v>160</v>
      </c>
      <c r="B88" s="1" t="s">
        <v>161</v>
      </c>
      <c r="C88" s="1" t="s">
        <v>54</v>
      </c>
      <c r="D88" s="1" t="s">
        <v>55</v>
      </c>
      <c r="E88" s="1">
        <v>0.82678066800000005</v>
      </c>
      <c r="F88" s="1">
        <v>7.2489709999999999E-2</v>
      </c>
      <c r="G88" s="1">
        <f t="shared" si="3"/>
        <v>0.5208008584599999</v>
      </c>
      <c r="H88">
        <f t="shared" si="4"/>
        <v>0.4791991415400001</v>
      </c>
      <c r="I88">
        <f t="shared" si="5"/>
        <v>47.919914154000011</v>
      </c>
    </row>
    <row r="89" spans="1:9" x14ac:dyDescent="0.2">
      <c r="A89" s="1" t="s">
        <v>162</v>
      </c>
      <c r="B89" s="1" t="s">
        <v>163</v>
      </c>
      <c r="C89" s="1" t="s">
        <v>54</v>
      </c>
      <c r="D89" s="1" t="s">
        <v>55</v>
      </c>
      <c r="E89" s="1">
        <v>0.81452151900000003</v>
      </c>
      <c r="F89" s="1">
        <v>7.9908860999999998E-2</v>
      </c>
      <c r="G89" s="1">
        <f t="shared" si="3"/>
        <v>0.56491493744999999</v>
      </c>
      <c r="H89">
        <f t="shared" si="4"/>
        <v>0.43508506255000001</v>
      </c>
      <c r="I89">
        <f t="shared" si="5"/>
        <v>43.508506255</v>
      </c>
    </row>
    <row r="90" spans="1:9" x14ac:dyDescent="0.2">
      <c r="A90" s="1" t="s">
        <v>164</v>
      </c>
      <c r="B90" s="1" t="s">
        <v>165</v>
      </c>
      <c r="C90" s="1" t="s">
        <v>54</v>
      </c>
      <c r="D90" s="1" t="s">
        <v>55</v>
      </c>
      <c r="E90" s="1">
        <v>0.82483035199999999</v>
      </c>
      <c r="F90" s="1">
        <v>7.2080735000000007E-2</v>
      </c>
      <c r="G90" s="1">
        <f t="shared" si="3"/>
        <v>0.52278093858999997</v>
      </c>
      <c r="H90">
        <f t="shared" si="4"/>
        <v>0.47721906141000003</v>
      </c>
      <c r="I90">
        <f t="shared" si="5"/>
        <v>47.721906141000005</v>
      </c>
    </row>
    <row r="91" spans="1:9" x14ac:dyDescent="0.2">
      <c r="A91" s="1" t="s">
        <v>166</v>
      </c>
      <c r="B91" s="1" t="s">
        <v>167</v>
      </c>
      <c r="C91" s="1" t="s">
        <v>54</v>
      </c>
      <c r="D91" s="1" t="s">
        <v>55</v>
      </c>
      <c r="E91" s="1">
        <v>0.81207312300000001</v>
      </c>
      <c r="F91" s="1">
        <v>8.1729891999999998E-2</v>
      </c>
      <c r="G91" s="1">
        <f t="shared" si="3"/>
        <v>0.57480091099999997</v>
      </c>
      <c r="H91">
        <f t="shared" si="4"/>
        <v>0.42519908900000003</v>
      </c>
      <c r="I91">
        <f t="shared" si="5"/>
        <v>42.519908900000004</v>
      </c>
    </row>
    <row r="92" spans="1:9" x14ac:dyDescent="0.2">
      <c r="A92" s="1" t="s">
        <v>168</v>
      </c>
      <c r="B92" s="1" t="s">
        <v>169</v>
      </c>
      <c r="C92" s="1" t="s">
        <v>46</v>
      </c>
      <c r="D92" s="1" t="s">
        <v>47</v>
      </c>
      <c r="E92" s="1">
        <v>0.81008100800000005</v>
      </c>
      <c r="F92" s="1">
        <v>7.4450301999999996E-2</v>
      </c>
      <c r="G92" s="1">
        <f t="shared" si="3"/>
        <v>0.55507136389999989</v>
      </c>
      <c r="H92">
        <f t="shared" si="4"/>
        <v>0.44492863610000011</v>
      </c>
      <c r="I92">
        <f t="shared" si="5"/>
        <v>44.492863610000008</v>
      </c>
    </row>
    <row r="93" spans="1:9" x14ac:dyDescent="0.2">
      <c r="A93" s="1" t="s">
        <v>170</v>
      </c>
      <c r="B93" s="1" t="s">
        <v>171</v>
      </c>
      <c r="C93" s="1" t="s">
        <v>34</v>
      </c>
      <c r="D93" s="1" t="s">
        <v>35</v>
      </c>
      <c r="E93" s="1">
        <v>0.86764525000000003</v>
      </c>
      <c r="F93" s="1">
        <v>5.2267415999999997E-2</v>
      </c>
      <c r="G93" s="1">
        <f t="shared" si="3"/>
        <v>0.38804368871999995</v>
      </c>
      <c r="H93">
        <f t="shared" si="4"/>
        <v>0.61195631128000005</v>
      </c>
      <c r="I93">
        <f t="shared" si="5"/>
        <v>61.195631128000002</v>
      </c>
    </row>
    <row r="94" spans="1:9" x14ac:dyDescent="0.2">
      <c r="A94" s="1" t="s">
        <v>172</v>
      </c>
      <c r="B94" s="1" t="s">
        <v>173</v>
      </c>
      <c r="C94" s="1" t="s">
        <v>10</v>
      </c>
      <c r="D94" s="1" t="s">
        <v>11</v>
      </c>
      <c r="E94" s="1">
        <v>0.83427603500000003</v>
      </c>
      <c r="F94" s="1">
        <v>6.6412591000000007E-2</v>
      </c>
      <c r="G94" s="1">
        <f t="shared" si="3"/>
        <v>0.48894417466999995</v>
      </c>
      <c r="H94">
        <f t="shared" si="4"/>
        <v>0.51105582533000005</v>
      </c>
      <c r="I94">
        <f t="shared" si="5"/>
        <v>51.105582533000003</v>
      </c>
    </row>
    <row r="95" spans="1:9" x14ac:dyDescent="0.2">
      <c r="A95" s="1" t="s">
        <v>174</v>
      </c>
      <c r="B95" s="1" t="s">
        <v>175</v>
      </c>
      <c r="C95" s="1" t="s">
        <v>46</v>
      </c>
      <c r="D95" s="1" t="s">
        <v>47</v>
      </c>
      <c r="E95" s="1">
        <v>0.85637581399999996</v>
      </c>
      <c r="F95" s="1">
        <v>5.9846485999999997E-2</v>
      </c>
      <c r="G95" s="1">
        <f t="shared" si="3"/>
        <v>0.43100199310000009</v>
      </c>
      <c r="H95">
        <f t="shared" si="4"/>
        <v>0.56899800689999991</v>
      </c>
      <c r="I95">
        <f t="shared" si="5"/>
        <v>56.899800689999992</v>
      </c>
    </row>
    <row r="96" spans="1:9" x14ac:dyDescent="0.2">
      <c r="A96" s="1" t="s">
        <v>176</v>
      </c>
      <c r="B96" s="1" t="s">
        <v>177</v>
      </c>
      <c r="C96" s="1" t="s">
        <v>18</v>
      </c>
      <c r="D96" s="1" t="s">
        <v>19</v>
      </c>
      <c r="E96" s="1">
        <v>0.80881264100000005</v>
      </c>
      <c r="F96" s="1">
        <v>7.7443784000000002E-2</v>
      </c>
      <c r="G96" s="1">
        <f t="shared" si="3"/>
        <v>0.56669155839999985</v>
      </c>
      <c r="H96">
        <f t="shared" si="4"/>
        <v>0.43330844160000015</v>
      </c>
      <c r="I96">
        <f t="shared" si="5"/>
        <v>43.330844160000012</v>
      </c>
    </row>
    <row r="97" spans="1:9" x14ac:dyDescent="0.2">
      <c r="A97" s="1" t="s">
        <v>178</v>
      </c>
      <c r="B97" s="1" t="s">
        <v>179</v>
      </c>
      <c r="C97" s="1" t="s">
        <v>6</v>
      </c>
      <c r="D97" s="1" t="s">
        <v>7</v>
      </c>
      <c r="E97" s="1">
        <v>0.85300187400000005</v>
      </c>
      <c r="F97" s="1">
        <v>5.6203494999999999E-2</v>
      </c>
      <c r="G97" s="1">
        <f t="shared" si="3"/>
        <v>0.42512193082999994</v>
      </c>
      <c r="H97">
        <f t="shared" si="4"/>
        <v>0.57487806917000006</v>
      </c>
      <c r="I97">
        <f t="shared" si="5"/>
        <v>57.487806917000007</v>
      </c>
    </row>
    <row r="98" spans="1:9" x14ac:dyDescent="0.2">
      <c r="A98" s="1" t="s">
        <v>180</v>
      </c>
      <c r="B98" s="1" t="s">
        <v>181</v>
      </c>
      <c r="C98" s="1" t="s">
        <v>14</v>
      </c>
      <c r="D98" s="1" t="s">
        <v>15</v>
      </c>
      <c r="E98" s="1">
        <v>0.798583347</v>
      </c>
      <c r="F98" s="1">
        <v>9.6427333000000004E-2</v>
      </c>
      <c r="G98" s="1">
        <f t="shared" si="3"/>
        <v>0.64405462265000002</v>
      </c>
      <c r="H98">
        <f t="shared" si="4"/>
        <v>0.35594537734999998</v>
      </c>
      <c r="I98">
        <f t="shared" si="5"/>
        <v>35.594537734999996</v>
      </c>
    </row>
    <row r="99" spans="1:9" x14ac:dyDescent="0.2">
      <c r="A99" s="1" t="s">
        <v>182</v>
      </c>
      <c r="B99" s="1" t="s">
        <v>183</v>
      </c>
      <c r="C99" s="1" t="s">
        <v>10</v>
      </c>
      <c r="D99" s="1" t="s">
        <v>11</v>
      </c>
      <c r="E99" s="1">
        <v>0.82963805499999999</v>
      </c>
      <c r="F99" s="1">
        <v>6.8194541999999997E-2</v>
      </c>
      <c r="G99" s="1">
        <f t="shared" si="3"/>
        <v>0.50238476574000002</v>
      </c>
      <c r="H99">
        <f t="shared" si="4"/>
        <v>0.49761523425999998</v>
      </c>
      <c r="I99">
        <f t="shared" si="5"/>
        <v>49.761523425999997</v>
      </c>
    </row>
    <row r="100" spans="1:9" x14ac:dyDescent="0.2">
      <c r="A100" s="1" t="s">
        <v>184</v>
      </c>
      <c r="B100" s="1" t="s">
        <v>185</v>
      </c>
      <c r="C100" s="1" t="s">
        <v>14</v>
      </c>
      <c r="D100" s="1" t="s">
        <v>15</v>
      </c>
      <c r="E100" s="1">
        <v>0.81430607099999996</v>
      </c>
      <c r="F100" s="1">
        <v>8.3095028000000001E-2</v>
      </c>
      <c r="G100" s="1">
        <f t="shared" si="3"/>
        <v>0.57537703948000007</v>
      </c>
      <c r="H100">
        <f t="shared" si="4"/>
        <v>0.42462296051999993</v>
      </c>
      <c r="I100">
        <f t="shared" si="5"/>
        <v>42.462296051999992</v>
      </c>
    </row>
    <row r="101" spans="1:9" x14ac:dyDescent="0.2">
      <c r="A101" s="1" t="s">
        <v>186</v>
      </c>
      <c r="B101" s="1" t="s">
        <v>187</v>
      </c>
      <c r="C101" s="1" t="s">
        <v>14</v>
      </c>
      <c r="D101" s="1" t="s">
        <v>15</v>
      </c>
      <c r="E101" s="1">
        <v>0.82252578899999995</v>
      </c>
      <c r="F101" s="1">
        <v>7.9339647999999999E-2</v>
      </c>
      <c r="G101" s="1">
        <f t="shared" si="3"/>
        <v>0.54966335864000004</v>
      </c>
      <c r="H101">
        <f t="shared" si="4"/>
        <v>0.45033664135999996</v>
      </c>
      <c r="I101">
        <f t="shared" si="5"/>
        <v>45.033664135999999</v>
      </c>
    </row>
    <row r="102" spans="1:9" x14ac:dyDescent="0.2">
      <c r="A102" s="1" t="s">
        <v>188</v>
      </c>
      <c r="B102" s="1" t="s">
        <v>189</v>
      </c>
      <c r="C102" s="1" t="s">
        <v>46</v>
      </c>
      <c r="D102" s="1" t="s">
        <v>47</v>
      </c>
      <c r="E102" s="1">
        <v>0.82841530100000005</v>
      </c>
      <c r="F102" s="1">
        <v>6.5445773999999998E-2</v>
      </c>
      <c r="G102" s="1">
        <f t="shared" si="3"/>
        <v>0.49572539789999992</v>
      </c>
      <c r="H102">
        <f t="shared" si="4"/>
        <v>0.50427460210000008</v>
      </c>
      <c r="I102">
        <f t="shared" si="5"/>
        <v>50.427460210000007</v>
      </c>
    </row>
    <row r="103" spans="1:9" x14ac:dyDescent="0.2">
      <c r="A103" s="1" t="s">
        <v>1122</v>
      </c>
      <c r="B103" s="1" t="s">
        <v>1123</v>
      </c>
      <c r="C103" s="1" t="s">
        <v>1110</v>
      </c>
      <c r="D103" s="1" t="s">
        <v>1111</v>
      </c>
      <c r="E103" s="1">
        <v>0.77820754599999997</v>
      </c>
      <c r="F103" s="1">
        <v>0.10512632</v>
      </c>
      <c r="G103" s="1">
        <f t="shared" si="3"/>
        <v>0.70586175711999999</v>
      </c>
      <c r="H103">
        <f t="shared" si="4"/>
        <v>0.29413824288000001</v>
      </c>
      <c r="I103">
        <f t="shared" si="5"/>
        <v>29.413824288000001</v>
      </c>
    </row>
    <row r="104" spans="1:9" x14ac:dyDescent="0.2">
      <c r="A104" s="1" t="s">
        <v>1124</v>
      </c>
      <c r="B104" s="1" t="s">
        <v>1125</v>
      </c>
      <c r="C104" s="1" t="s">
        <v>1110</v>
      </c>
      <c r="D104" s="1" t="s">
        <v>1111</v>
      </c>
      <c r="E104" s="1">
        <v>0.772882446</v>
      </c>
      <c r="F104" s="1">
        <v>0.11422286299999999</v>
      </c>
      <c r="G104" s="1">
        <f t="shared" si="3"/>
        <v>0.74364396642999997</v>
      </c>
      <c r="H104">
        <f t="shared" si="4"/>
        <v>0.25635603357000003</v>
      </c>
      <c r="I104">
        <f t="shared" si="5"/>
        <v>25.635603357000004</v>
      </c>
    </row>
    <row r="105" spans="1:9" x14ac:dyDescent="0.2">
      <c r="A105" s="1" t="s">
        <v>1204</v>
      </c>
      <c r="B105" s="1" t="s">
        <v>1205</v>
      </c>
      <c r="C105" s="1" t="s">
        <v>1176</v>
      </c>
      <c r="D105" s="1" t="s">
        <v>1177</v>
      </c>
      <c r="E105" s="1">
        <v>0.75003125900000001</v>
      </c>
      <c r="F105" s="1">
        <v>0.10462426499999999</v>
      </c>
      <c r="G105" s="1">
        <f t="shared" si="3"/>
        <v>0.75160640492999997</v>
      </c>
      <c r="H105">
        <f t="shared" si="4"/>
        <v>0.24839359507000003</v>
      </c>
      <c r="I105">
        <f t="shared" si="5"/>
        <v>24.839359507000005</v>
      </c>
    </row>
    <row r="106" spans="1:9" x14ac:dyDescent="0.2">
      <c r="A106" s="1" t="s">
        <v>190</v>
      </c>
      <c r="B106" s="1" t="s">
        <v>191</v>
      </c>
      <c r="C106" s="1" t="s">
        <v>38</v>
      </c>
      <c r="D106" s="1" t="s">
        <v>39</v>
      </c>
      <c r="E106" s="1">
        <v>0.81951638100000002</v>
      </c>
      <c r="F106" s="1">
        <v>7.4774093E-2</v>
      </c>
      <c r="G106" s="1">
        <f t="shared" si="3"/>
        <v>0.54024635472999993</v>
      </c>
      <c r="H106">
        <f t="shared" si="4"/>
        <v>0.45975364527000007</v>
      </c>
      <c r="I106">
        <f t="shared" si="5"/>
        <v>45.975364527000004</v>
      </c>
    </row>
    <row r="107" spans="1:9" x14ac:dyDescent="0.2">
      <c r="A107" s="1" t="s">
        <v>192</v>
      </c>
      <c r="B107" s="1" t="s">
        <v>193</v>
      </c>
      <c r="C107" s="1" t="s">
        <v>54</v>
      </c>
      <c r="D107" s="1" t="s">
        <v>55</v>
      </c>
      <c r="E107" s="1">
        <v>0.78444926599999998</v>
      </c>
      <c r="F107" s="1">
        <v>9.2436551000000006E-2</v>
      </c>
      <c r="G107" s="1">
        <f t="shared" si="3"/>
        <v>0.65514909979000002</v>
      </c>
      <c r="H107">
        <f t="shared" si="4"/>
        <v>0.34485090020999998</v>
      </c>
      <c r="I107">
        <f t="shared" si="5"/>
        <v>34.485090020999998</v>
      </c>
    </row>
    <row r="108" spans="1:9" x14ac:dyDescent="0.2">
      <c r="A108" s="1" t="s">
        <v>194</v>
      </c>
      <c r="B108" s="1" t="s">
        <v>195</v>
      </c>
      <c r="C108" s="1" t="s">
        <v>46</v>
      </c>
      <c r="D108" s="1" t="s">
        <v>47</v>
      </c>
      <c r="E108" s="1">
        <v>0.85213123499999999</v>
      </c>
      <c r="F108" s="1">
        <v>4.8088778999999998E-2</v>
      </c>
      <c r="G108" s="1">
        <f t="shared" si="3"/>
        <v>0.40086095463000004</v>
      </c>
      <c r="H108">
        <f t="shared" si="4"/>
        <v>0.59913904536999996</v>
      </c>
      <c r="I108">
        <f t="shared" si="5"/>
        <v>59.913904536999993</v>
      </c>
    </row>
    <row r="109" spans="1:9" x14ac:dyDescent="0.2">
      <c r="A109" s="1" t="s">
        <v>196</v>
      </c>
      <c r="B109" s="1" t="s">
        <v>197</v>
      </c>
      <c r="C109" s="1" t="s">
        <v>10</v>
      </c>
      <c r="D109" s="1" t="s">
        <v>11</v>
      </c>
      <c r="E109" s="1">
        <v>0.79779942100000001</v>
      </c>
      <c r="F109" s="1">
        <v>8.9207016E-2</v>
      </c>
      <c r="G109" s="1">
        <f t="shared" si="3"/>
        <v>0.62248321344000002</v>
      </c>
      <c r="H109">
        <f t="shared" si="4"/>
        <v>0.37751678655999998</v>
      </c>
      <c r="I109">
        <f t="shared" si="5"/>
        <v>37.751678655999996</v>
      </c>
    </row>
    <row r="110" spans="1:9" x14ac:dyDescent="0.2">
      <c r="A110" s="1" t="s">
        <v>198</v>
      </c>
      <c r="B110" s="1" t="s">
        <v>199</v>
      </c>
      <c r="C110" s="1" t="s">
        <v>6</v>
      </c>
      <c r="D110" s="1" t="s">
        <v>7</v>
      </c>
      <c r="E110" s="1">
        <v>0.81082315699999996</v>
      </c>
      <c r="F110" s="1">
        <v>7.1781486000000005E-2</v>
      </c>
      <c r="G110" s="1">
        <f t="shared" si="3"/>
        <v>0.54536440686000009</v>
      </c>
      <c r="H110">
        <f t="shared" si="4"/>
        <v>0.45463559313999991</v>
      </c>
      <c r="I110">
        <f t="shared" si="5"/>
        <v>45.463559313999994</v>
      </c>
    </row>
    <row r="111" spans="1:9" x14ac:dyDescent="0.2">
      <c r="A111" s="1" t="s">
        <v>1126</v>
      </c>
      <c r="B111" s="1" t="s">
        <v>1127</v>
      </c>
      <c r="C111" s="1" t="s">
        <v>1110</v>
      </c>
      <c r="D111" s="1" t="s">
        <v>1111</v>
      </c>
      <c r="E111" s="1">
        <v>0.79853344199999998</v>
      </c>
      <c r="F111" s="1">
        <v>9.1122880000000003E-2</v>
      </c>
      <c r="G111" s="1">
        <f t="shared" si="3"/>
        <v>0.62732334704000003</v>
      </c>
      <c r="H111">
        <f t="shared" si="4"/>
        <v>0.37267665295999997</v>
      </c>
      <c r="I111">
        <f t="shared" si="5"/>
        <v>37.267665295999997</v>
      </c>
    </row>
    <row r="112" spans="1:9" x14ac:dyDescent="0.2">
      <c r="A112" s="1" t="s">
        <v>1128</v>
      </c>
      <c r="B112" s="1" t="s">
        <v>1129</v>
      </c>
      <c r="C112" s="1" t="s">
        <v>1110</v>
      </c>
      <c r="D112" s="1" t="s">
        <v>1111</v>
      </c>
      <c r="E112" s="1">
        <v>0.82613882100000002</v>
      </c>
      <c r="F112" s="1">
        <v>7.1785368000000002E-2</v>
      </c>
      <c r="G112" s="1">
        <f t="shared" si="3"/>
        <v>0.51964639727999995</v>
      </c>
      <c r="H112">
        <f t="shared" si="4"/>
        <v>0.48035360272000005</v>
      </c>
      <c r="I112">
        <f t="shared" si="5"/>
        <v>48.035360272000005</v>
      </c>
    </row>
    <row r="113" spans="1:9" x14ac:dyDescent="0.2">
      <c r="A113" s="1" t="s">
        <v>1130</v>
      </c>
      <c r="B113" s="1" t="s">
        <v>1131</v>
      </c>
      <c r="C113" s="1" t="s">
        <v>1110</v>
      </c>
      <c r="D113" s="1" t="s">
        <v>1111</v>
      </c>
      <c r="E113" s="1">
        <v>0.82666240800000002</v>
      </c>
      <c r="F113" s="1">
        <v>7.3428707999999995E-2</v>
      </c>
      <c r="G113" s="1">
        <f t="shared" si="3"/>
        <v>0.52397615891999993</v>
      </c>
      <c r="H113">
        <f t="shared" si="4"/>
        <v>0.47602384108000007</v>
      </c>
      <c r="I113">
        <f t="shared" si="5"/>
        <v>47.60238410800001</v>
      </c>
    </row>
    <row r="114" spans="1:9" x14ac:dyDescent="0.2">
      <c r="A114" s="1" t="s">
        <v>1132</v>
      </c>
      <c r="B114" s="1" t="s">
        <v>1133</v>
      </c>
      <c r="C114" s="1" t="s">
        <v>1110</v>
      </c>
      <c r="D114" s="1" t="s">
        <v>1111</v>
      </c>
      <c r="E114" s="1">
        <v>0.80624359800000001</v>
      </c>
      <c r="F114" s="1">
        <v>8.9751718999999994E-2</v>
      </c>
      <c r="G114" s="1">
        <f t="shared" si="3"/>
        <v>0.61002370458999988</v>
      </c>
      <c r="H114">
        <f t="shared" si="4"/>
        <v>0.38997629541000012</v>
      </c>
      <c r="I114">
        <f t="shared" si="5"/>
        <v>38.997629541000009</v>
      </c>
    </row>
    <row r="115" spans="1:9" x14ac:dyDescent="0.2">
      <c r="A115" s="1" t="s">
        <v>200</v>
      </c>
      <c r="B115" s="1" t="s">
        <v>201</v>
      </c>
      <c r="C115" s="1" t="s">
        <v>14</v>
      </c>
      <c r="D115" s="1" t="s">
        <v>15</v>
      </c>
      <c r="E115" s="1">
        <v>0.80963930500000003</v>
      </c>
      <c r="F115" s="1">
        <v>8.2493205999999999E-2</v>
      </c>
      <c r="G115" s="1">
        <f t="shared" si="3"/>
        <v>0.58130943061999996</v>
      </c>
      <c r="H115">
        <f t="shared" si="4"/>
        <v>0.41869056938000004</v>
      </c>
      <c r="I115">
        <f t="shared" si="5"/>
        <v>41.869056938000007</v>
      </c>
    </row>
    <row r="116" spans="1:9" x14ac:dyDescent="0.2">
      <c r="A116" s="1" t="s">
        <v>202</v>
      </c>
      <c r="B116" s="1" t="s">
        <v>203</v>
      </c>
      <c r="C116" s="1" t="s">
        <v>34</v>
      </c>
      <c r="D116" s="1" t="s">
        <v>35</v>
      </c>
      <c r="E116" s="1">
        <v>0.84869636400000004</v>
      </c>
      <c r="F116" s="1">
        <v>6.3372502999999997E-2</v>
      </c>
      <c r="G116" s="1">
        <f t="shared" si="3"/>
        <v>0.4550809429899999</v>
      </c>
      <c r="H116">
        <f t="shared" si="4"/>
        <v>0.5449190570100001</v>
      </c>
      <c r="I116">
        <f t="shared" si="5"/>
        <v>54.491905701000007</v>
      </c>
    </row>
    <row r="117" spans="1:9" x14ac:dyDescent="0.2">
      <c r="A117" s="1" t="s">
        <v>204</v>
      </c>
      <c r="B117" s="1" t="s">
        <v>205</v>
      </c>
      <c r="C117" s="1" t="s">
        <v>46</v>
      </c>
      <c r="D117" s="1" t="s">
        <v>47</v>
      </c>
      <c r="E117" s="1">
        <v>0.822164695</v>
      </c>
      <c r="F117" s="1">
        <v>7.5913970999999997E-2</v>
      </c>
      <c r="G117" s="1">
        <f t="shared" si="3"/>
        <v>0.53941060047</v>
      </c>
      <c r="H117">
        <f t="shared" si="4"/>
        <v>0.46058939953</v>
      </c>
      <c r="I117">
        <f t="shared" si="5"/>
        <v>46.058939952999999</v>
      </c>
    </row>
    <row r="118" spans="1:9" x14ac:dyDescent="0.2">
      <c r="A118" s="1" t="s">
        <v>1284</v>
      </c>
      <c r="B118" s="1" t="s">
        <v>1285</v>
      </c>
      <c r="C118" s="1" t="s">
        <v>1176</v>
      </c>
      <c r="D118" s="1" t="s">
        <v>1177</v>
      </c>
      <c r="E118" s="1">
        <v>0.73277061700000001</v>
      </c>
      <c r="F118" s="1">
        <v>0.12832211700000001</v>
      </c>
      <c r="G118" s="1">
        <f t="shared" si="3"/>
        <v>0.85572647432999993</v>
      </c>
      <c r="H118">
        <f t="shared" si="4"/>
        <v>0.14427352567000007</v>
      </c>
      <c r="I118">
        <f t="shared" si="5"/>
        <v>14.427352567000007</v>
      </c>
    </row>
    <row r="119" spans="1:9" x14ac:dyDescent="0.2">
      <c r="A119" s="1" t="s">
        <v>206</v>
      </c>
      <c r="B119" s="1" t="s">
        <v>207</v>
      </c>
      <c r="C119" s="1" t="s">
        <v>54</v>
      </c>
      <c r="D119" s="1" t="s">
        <v>55</v>
      </c>
      <c r="E119" s="1">
        <v>0.80860222000000004</v>
      </c>
      <c r="F119" s="1">
        <v>7.2475901999999995E-2</v>
      </c>
      <c r="G119" s="1">
        <f t="shared" si="3"/>
        <v>0.55129687973999997</v>
      </c>
      <c r="H119">
        <f t="shared" si="4"/>
        <v>0.44870312026000003</v>
      </c>
      <c r="I119">
        <f t="shared" si="5"/>
        <v>44.870312026000001</v>
      </c>
    </row>
    <row r="120" spans="1:9" x14ac:dyDescent="0.2">
      <c r="A120" s="1" t="s">
        <v>208</v>
      </c>
      <c r="B120" s="1" t="s">
        <v>209</v>
      </c>
      <c r="C120" s="1" t="s">
        <v>46</v>
      </c>
      <c r="D120" s="1" t="s">
        <v>47</v>
      </c>
      <c r="E120" s="1">
        <v>0.830880167</v>
      </c>
      <c r="F120" s="1">
        <v>6.5991249000000002E-2</v>
      </c>
      <c r="G120" s="1">
        <f t="shared" si="3"/>
        <v>0.49331357876999993</v>
      </c>
      <c r="H120">
        <f t="shared" si="4"/>
        <v>0.50668642123000007</v>
      </c>
      <c r="I120">
        <f t="shared" si="5"/>
        <v>50.668642123000005</v>
      </c>
    </row>
    <row r="121" spans="1:9" x14ac:dyDescent="0.2">
      <c r="A121" s="1" t="s">
        <v>1134</v>
      </c>
      <c r="B121" s="1" t="s">
        <v>1135</v>
      </c>
      <c r="C121" s="1" t="s">
        <v>1110</v>
      </c>
      <c r="D121" s="1" t="s">
        <v>1111</v>
      </c>
      <c r="E121" s="1">
        <v>0.78428300399999995</v>
      </c>
      <c r="F121" s="1">
        <v>9.2494298000000003E-2</v>
      </c>
      <c r="G121" s="1">
        <f t="shared" si="3"/>
        <v>0.65561147794000008</v>
      </c>
      <c r="H121">
        <f t="shared" si="4"/>
        <v>0.34438852205999992</v>
      </c>
      <c r="I121">
        <f t="shared" si="5"/>
        <v>34.438852205999993</v>
      </c>
    </row>
    <row r="122" spans="1:9" x14ac:dyDescent="0.2">
      <c r="A122" s="1" t="s">
        <v>210</v>
      </c>
      <c r="B122" s="1" t="s">
        <v>211</v>
      </c>
      <c r="C122" s="1" t="s">
        <v>6</v>
      </c>
      <c r="D122" s="1" t="s">
        <v>7</v>
      </c>
      <c r="E122" s="1">
        <v>0.82775657499999999</v>
      </c>
      <c r="F122" s="1">
        <v>7.2466369000000003E-2</v>
      </c>
      <c r="G122" s="1">
        <f t="shared" si="3"/>
        <v>0.51908734372999998</v>
      </c>
      <c r="H122">
        <f t="shared" si="4"/>
        <v>0.48091265627000002</v>
      </c>
      <c r="I122">
        <f t="shared" si="5"/>
        <v>48.091265626999999</v>
      </c>
    </row>
    <row r="123" spans="1:9" x14ac:dyDescent="0.2">
      <c r="A123" s="1" t="s">
        <v>212</v>
      </c>
      <c r="B123" s="1" t="s">
        <v>213</v>
      </c>
      <c r="C123" s="1" t="s">
        <v>14</v>
      </c>
      <c r="D123" s="1" t="s">
        <v>15</v>
      </c>
      <c r="E123" s="1">
        <v>0.84139967999999998</v>
      </c>
      <c r="F123" s="1">
        <v>6.3909340999999995E-2</v>
      </c>
      <c r="G123" s="1">
        <f t="shared" si="3"/>
        <v>0.46904114857000001</v>
      </c>
      <c r="H123">
        <f t="shared" si="4"/>
        <v>0.53095885142999999</v>
      </c>
      <c r="I123">
        <f t="shared" si="5"/>
        <v>53.095885142999997</v>
      </c>
    </row>
    <row r="124" spans="1:9" x14ac:dyDescent="0.2">
      <c r="A124" s="1" t="s">
        <v>214</v>
      </c>
      <c r="B124" s="1" t="s">
        <v>215</v>
      </c>
      <c r="C124" s="1" t="s">
        <v>46</v>
      </c>
      <c r="D124" s="1" t="s">
        <v>47</v>
      </c>
      <c r="E124" s="1">
        <v>0.85615946399999998</v>
      </c>
      <c r="F124" s="1">
        <v>5.3754814999999997E-2</v>
      </c>
      <c r="G124" s="1">
        <f t="shared" si="3"/>
        <v>0.41205486403000002</v>
      </c>
      <c r="H124">
        <f t="shared" si="4"/>
        <v>0.58794513596999998</v>
      </c>
      <c r="I124">
        <f t="shared" si="5"/>
        <v>58.794513596999998</v>
      </c>
    </row>
    <row r="125" spans="1:9" x14ac:dyDescent="0.2">
      <c r="A125" s="1" t="s">
        <v>216</v>
      </c>
      <c r="B125" s="1" t="s">
        <v>217</v>
      </c>
      <c r="C125" s="1" t="s">
        <v>34</v>
      </c>
      <c r="D125" s="1" t="s">
        <v>35</v>
      </c>
      <c r="E125" s="1">
        <v>0.88335843400000003</v>
      </c>
      <c r="F125" s="1">
        <v>5.0543841999999999E-2</v>
      </c>
      <c r="G125" s="1">
        <f t="shared" si="3"/>
        <v>0.35618181001999993</v>
      </c>
      <c r="H125">
        <f t="shared" si="4"/>
        <v>0.64381818998000007</v>
      </c>
      <c r="I125">
        <f t="shared" si="5"/>
        <v>64.381818998</v>
      </c>
    </row>
    <row r="126" spans="1:9" x14ac:dyDescent="0.2">
      <c r="A126" s="1" t="s">
        <v>218</v>
      </c>
      <c r="B126" s="1" t="s">
        <v>219</v>
      </c>
      <c r="C126" s="1" t="s">
        <v>54</v>
      </c>
      <c r="D126" s="1" t="s">
        <v>55</v>
      </c>
      <c r="E126" s="1">
        <v>0.84143079600000004</v>
      </c>
      <c r="F126" s="1">
        <v>5.8285759999999999E-2</v>
      </c>
      <c r="G126" s="1">
        <f t="shared" si="3"/>
        <v>0.45116212191999994</v>
      </c>
      <c r="H126">
        <f t="shared" si="4"/>
        <v>0.54883787808000006</v>
      </c>
      <c r="I126">
        <f t="shared" si="5"/>
        <v>54.883787808000008</v>
      </c>
    </row>
    <row r="127" spans="1:9" x14ac:dyDescent="0.2">
      <c r="A127" s="1" t="s">
        <v>220</v>
      </c>
      <c r="B127" s="1" t="s">
        <v>221</v>
      </c>
      <c r="C127" s="1" t="s">
        <v>6</v>
      </c>
      <c r="D127" s="1" t="s">
        <v>7</v>
      </c>
      <c r="E127" s="1">
        <v>0.869474364</v>
      </c>
      <c r="F127" s="1">
        <v>4.7596935E-2</v>
      </c>
      <c r="G127" s="1">
        <f t="shared" si="3"/>
        <v>0.37016535242999998</v>
      </c>
      <c r="H127">
        <f t="shared" si="4"/>
        <v>0.62983464757000007</v>
      </c>
      <c r="I127">
        <f t="shared" si="5"/>
        <v>62.983464757000007</v>
      </c>
    </row>
    <row r="128" spans="1:9" x14ac:dyDescent="0.2">
      <c r="A128" s="1" t="s">
        <v>222</v>
      </c>
      <c r="B128" s="1" t="s">
        <v>223</v>
      </c>
      <c r="C128" s="1" t="s">
        <v>14</v>
      </c>
      <c r="D128" s="1" t="s">
        <v>15</v>
      </c>
      <c r="E128" s="1">
        <v>0.81067883900000004</v>
      </c>
      <c r="F128" s="1">
        <v>7.9592378000000005E-2</v>
      </c>
      <c r="G128" s="1">
        <f t="shared" si="3"/>
        <v>0.57036738873999993</v>
      </c>
      <c r="H128">
        <f t="shared" si="4"/>
        <v>0.42963261126000007</v>
      </c>
      <c r="I128">
        <f t="shared" si="5"/>
        <v>42.963261126000006</v>
      </c>
    </row>
    <row r="129" spans="1:9" x14ac:dyDescent="0.2">
      <c r="A129" s="1" t="s">
        <v>224</v>
      </c>
      <c r="B129" s="1" t="s">
        <v>225</v>
      </c>
      <c r="C129" s="1" t="s">
        <v>14</v>
      </c>
      <c r="D129" s="1" t="s">
        <v>15</v>
      </c>
      <c r="E129" s="1">
        <v>0.84003836499999995</v>
      </c>
      <c r="F129" s="1">
        <v>6.2439387999999998E-2</v>
      </c>
      <c r="G129" s="1">
        <f t="shared" si="3"/>
        <v>0.46666840676000004</v>
      </c>
      <c r="H129">
        <f t="shared" si="4"/>
        <v>0.53333159324000001</v>
      </c>
      <c r="I129">
        <f t="shared" si="5"/>
        <v>53.333159324</v>
      </c>
    </row>
    <row r="130" spans="1:9" x14ac:dyDescent="0.2">
      <c r="A130" s="1" t="s">
        <v>226</v>
      </c>
      <c r="B130" s="1" t="s">
        <v>227</v>
      </c>
      <c r="C130" s="1" t="s">
        <v>18</v>
      </c>
      <c r="D130" s="1" t="s">
        <v>19</v>
      </c>
      <c r="E130" s="1">
        <v>0.77050041800000002</v>
      </c>
      <c r="F130" s="1">
        <v>0.102046288</v>
      </c>
      <c r="G130" s="1">
        <f t="shared" si="3"/>
        <v>0.70904603071999994</v>
      </c>
      <c r="H130">
        <f t="shared" si="4"/>
        <v>0.29095396928000006</v>
      </c>
      <c r="I130">
        <f t="shared" si="5"/>
        <v>29.095396928000007</v>
      </c>
    </row>
    <row r="131" spans="1:9" x14ac:dyDescent="0.2">
      <c r="A131" s="1" t="s">
        <v>228</v>
      </c>
      <c r="B131" s="1" t="s">
        <v>229</v>
      </c>
      <c r="C131" s="1" t="s">
        <v>6</v>
      </c>
      <c r="D131" s="1" t="s">
        <v>7</v>
      </c>
      <c r="E131" s="1">
        <v>0.82162541</v>
      </c>
      <c r="F131" s="1">
        <v>6.8672825000000007E-2</v>
      </c>
      <c r="G131" s="1">
        <f t="shared" ref="G131:G194" si="6">1.68*(1-E131)+3.17*F131</f>
        <v>0.51736216644999999</v>
      </c>
      <c r="H131">
        <f t="shared" ref="H131:H194" si="7">1-G131</f>
        <v>0.48263783355000001</v>
      </c>
      <c r="I131">
        <f t="shared" ref="I131:I194" si="8">100*H131</f>
        <v>48.263783355000001</v>
      </c>
    </row>
    <row r="132" spans="1:9" x14ac:dyDescent="0.2">
      <c r="A132" s="1" t="s">
        <v>230</v>
      </c>
      <c r="B132" s="1" t="s">
        <v>231</v>
      </c>
      <c r="C132" s="1" t="s">
        <v>34</v>
      </c>
      <c r="D132" s="1" t="s">
        <v>35</v>
      </c>
      <c r="E132" s="1">
        <v>0.86265359799999997</v>
      </c>
      <c r="F132" s="1">
        <v>5.9826672999999997E-2</v>
      </c>
      <c r="G132" s="1">
        <f t="shared" si="6"/>
        <v>0.42039250877000001</v>
      </c>
      <c r="H132">
        <f t="shared" si="7"/>
        <v>0.57960749122999999</v>
      </c>
      <c r="I132">
        <f t="shared" si="8"/>
        <v>57.960749122999999</v>
      </c>
    </row>
    <row r="133" spans="1:9" x14ac:dyDescent="0.2">
      <c r="A133" s="1" t="s">
        <v>232</v>
      </c>
      <c r="B133" s="1" t="s">
        <v>233</v>
      </c>
      <c r="C133" s="1" t="s">
        <v>54</v>
      </c>
      <c r="D133" s="1" t="s">
        <v>55</v>
      </c>
      <c r="E133" s="1">
        <v>0.83115862100000004</v>
      </c>
      <c r="F133" s="1">
        <v>6.1678101999999999E-2</v>
      </c>
      <c r="G133" s="1">
        <f t="shared" si="6"/>
        <v>0.47917310005999991</v>
      </c>
      <c r="H133">
        <f t="shared" si="7"/>
        <v>0.52082689994000009</v>
      </c>
      <c r="I133">
        <f t="shared" si="8"/>
        <v>52.082689994000006</v>
      </c>
    </row>
    <row r="134" spans="1:9" x14ac:dyDescent="0.2">
      <c r="A134" s="1" t="s">
        <v>234</v>
      </c>
      <c r="B134" s="1" t="s">
        <v>235</v>
      </c>
      <c r="C134" s="1" t="s">
        <v>34</v>
      </c>
      <c r="D134" s="1" t="s">
        <v>35</v>
      </c>
      <c r="E134" s="1">
        <v>0.86557896899999998</v>
      </c>
      <c r="F134" s="1">
        <v>5.7467294000000002E-2</v>
      </c>
      <c r="G134" s="1">
        <f t="shared" si="6"/>
        <v>0.40799865406000002</v>
      </c>
      <c r="H134">
        <f t="shared" si="7"/>
        <v>0.59200134593999998</v>
      </c>
      <c r="I134">
        <f t="shared" si="8"/>
        <v>59.200134593999998</v>
      </c>
    </row>
    <row r="135" spans="1:9" x14ac:dyDescent="0.2">
      <c r="A135" s="1" t="s">
        <v>236</v>
      </c>
      <c r="B135" s="1" t="s">
        <v>237</v>
      </c>
      <c r="C135" s="1" t="s">
        <v>14</v>
      </c>
      <c r="D135" s="1" t="s">
        <v>15</v>
      </c>
      <c r="E135" s="1">
        <v>0.81496160500000003</v>
      </c>
      <c r="F135" s="1">
        <v>7.8236314000000001E-2</v>
      </c>
      <c r="G135" s="1">
        <f t="shared" si="6"/>
        <v>0.55887361897999999</v>
      </c>
      <c r="H135">
        <f t="shared" si="7"/>
        <v>0.44112638102000001</v>
      </c>
      <c r="I135">
        <f t="shared" si="8"/>
        <v>44.112638101999998</v>
      </c>
    </row>
    <row r="136" spans="1:9" x14ac:dyDescent="0.2">
      <c r="A136" s="1" t="s">
        <v>238</v>
      </c>
      <c r="B136" s="1" t="s">
        <v>239</v>
      </c>
      <c r="C136" s="1" t="s">
        <v>54</v>
      </c>
      <c r="D136" s="1" t="s">
        <v>55</v>
      </c>
      <c r="E136" s="1">
        <v>0.79577144899999996</v>
      </c>
      <c r="F136" s="1">
        <v>8.3617205E-2</v>
      </c>
      <c r="G136" s="1">
        <f t="shared" si="6"/>
        <v>0.60817050553000007</v>
      </c>
      <c r="H136">
        <f t="shared" si="7"/>
        <v>0.39182949446999993</v>
      </c>
      <c r="I136">
        <f t="shared" si="8"/>
        <v>39.182949446999991</v>
      </c>
    </row>
    <row r="137" spans="1:9" x14ac:dyDescent="0.2">
      <c r="A137" s="1" t="s">
        <v>240</v>
      </c>
      <c r="B137" s="1" t="s">
        <v>241</v>
      </c>
      <c r="C137" s="1" t="s">
        <v>34</v>
      </c>
      <c r="D137" s="1" t="s">
        <v>35</v>
      </c>
      <c r="E137" s="1">
        <v>0.87733891200000003</v>
      </c>
      <c r="F137" s="1">
        <v>5.3916869999999999E-2</v>
      </c>
      <c r="G137" s="1">
        <f t="shared" si="6"/>
        <v>0.37698710573999994</v>
      </c>
      <c r="H137">
        <f t="shared" si="7"/>
        <v>0.62301289426000006</v>
      </c>
      <c r="I137">
        <f t="shared" si="8"/>
        <v>62.301289426000004</v>
      </c>
    </row>
    <row r="138" spans="1:9" x14ac:dyDescent="0.2">
      <c r="A138" s="1" t="s">
        <v>242</v>
      </c>
      <c r="B138" s="1" t="s">
        <v>243</v>
      </c>
      <c r="C138" s="1" t="s">
        <v>98</v>
      </c>
      <c r="D138" s="1" t="s">
        <v>99</v>
      </c>
      <c r="E138" s="1">
        <v>0.79599924499999997</v>
      </c>
      <c r="F138" s="1">
        <v>8.6987614000000005E-2</v>
      </c>
      <c r="G138" s="1">
        <f t="shared" si="6"/>
        <v>0.61847200478000008</v>
      </c>
      <c r="H138">
        <f t="shared" si="7"/>
        <v>0.38152799521999992</v>
      </c>
      <c r="I138">
        <f t="shared" si="8"/>
        <v>38.152799521999995</v>
      </c>
    </row>
    <row r="139" spans="1:9" x14ac:dyDescent="0.2">
      <c r="A139" s="1" t="s">
        <v>244</v>
      </c>
      <c r="B139" s="1" t="s">
        <v>245</v>
      </c>
      <c r="C139" s="1" t="s">
        <v>46</v>
      </c>
      <c r="D139" s="1" t="s">
        <v>47</v>
      </c>
      <c r="E139" s="1">
        <v>0.74165656700000004</v>
      </c>
      <c r="F139" s="1">
        <v>0.123361612</v>
      </c>
      <c r="G139" s="1">
        <f t="shared" si="6"/>
        <v>0.82507327747999981</v>
      </c>
      <c r="H139">
        <f t="shared" si="7"/>
        <v>0.17492672252000019</v>
      </c>
      <c r="I139">
        <f t="shared" si="8"/>
        <v>17.49267225200002</v>
      </c>
    </row>
    <row r="140" spans="1:9" x14ac:dyDescent="0.2">
      <c r="A140" s="1" t="s">
        <v>246</v>
      </c>
      <c r="B140" s="1" t="s">
        <v>247</v>
      </c>
      <c r="C140" s="1" t="s">
        <v>34</v>
      </c>
      <c r="D140" s="1" t="s">
        <v>35</v>
      </c>
      <c r="E140" s="1">
        <v>0.87491903800000004</v>
      </c>
      <c r="F140" s="1">
        <v>4.9548519999999999E-2</v>
      </c>
      <c r="G140" s="1">
        <f t="shared" si="6"/>
        <v>0.36720482455999992</v>
      </c>
      <c r="H140">
        <f t="shared" si="7"/>
        <v>0.63279517544000008</v>
      </c>
      <c r="I140">
        <f t="shared" si="8"/>
        <v>63.279517544000008</v>
      </c>
    </row>
    <row r="141" spans="1:9" x14ac:dyDescent="0.2">
      <c r="A141" s="1" t="s">
        <v>1136</v>
      </c>
      <c r="B141" s="1" t="s">
        <v>1137</v>
      </c>
      <c r="C141" s="1" t="s">
        <v>1110</v>
      </c>
      <c r="D141" s="1" t="s">
        <v>1111</v>
      </c>
      <c r="E141" s="1">
        <v>0.79142910600000005</v>
      </c>
      <c r="F141" s="1">
        <v>9.3782512999999998E-2</v>
      </c>
      <c r="G141" s="1">
        <f t="shared" si="6"/>
        <v>0.64768966812999995</v>
      </c>
      <c r="H141">
        <f t="shared" si="7"/>
        <v>0.35231033187000005</v>
      </c>
      <c r="I141">
        <f t="shared" si="8"/>
        <v>35.231033187000008</v>
      </c>
    </row>
    <row r="142" spans="1:9" x14ac:dyDescent="0.2">
      <c r="A142" s="1" t="s">
        <v>1138</v>
      </c>
      <c r="B142" s="1" t="s">
        <v>1139</v>
      </c>
      <c r="C142" s="1" t="s">
        <v>1110</v>
      </c>
      <c r="D142" s="1" t="s">
        <v>1111</v>
      </c>
      <c r="E142" s="1">
        <v>0.74895225899999995</v>
      </c>
      <c r="F142" s="1">
        <v>0.12185802699999999</v>
      </c>
      <c r="G142" s="1">
        <f t="shared" si="6"/>
        <v>0.80805015046999995</v>
      </c>
      <c r="H142">
        <f t="shared" si="7"/>
        <v>0.19194984953000005</v>
      </c>
      <c r="I142">
        <f t="shared" si="8"/>
        <v>19.194984953000006</v>
      </c>
    </row>
    <row r="143" spans="1:9" x14ac:dyDescent="0.2">
      <c r="A143" s="1" t="s">
        <v>1206</v>
      </c>
      <c r="B143" s="1" t="s">
        <v>1207</v>
      </c>
      <c r="C143" s="1" t="s">
        <v>1176</v>
      </c>
      <c r="D143" s="1" t="s">
        <v>1177</v>
      </c>
      <c r="E143" s="1">
        <v>0.73175226699999996</v>
      </c>
      <c r="F143" s="1">
        <v>0.13664079500000001</v>
      </c>
      <c r="G143" s="1">
        <f t="shared" si="6"/>
        <v>0.88380751159000015</v>
      </c>
      <c r="H143">
        <f t="shared" si="7"/>
        <v>0.11619248840999985</v>
      </c>
      <c r="I143">
        <f t="shared" si="8"/>
        <v>11.619248840999985</v>
      </c>
    </row>
    <row r="144" spans="1:9" x14ac:dyDescent="0.2">
      <c r="A144" s="1" t="s">
        <v>248</v>
      </c>
      <c r="B144" s="1" t="s">
        <v>249</v>
      </c>
      <c r="C144" s="1" t="s">
        <v>46</v>
      </c>
      <c r="D144" s="1" t="s">
        <v>47</v>
      </c>
      <c r="E144" s="1">
        <v>0.83020336800000005</v>
      </c>
      <c r="F144" s="1">
        <v>6.6205992000000005E-2</v>
      </c>
      <c r="G144" s="1">
        <f t="shared" si="6"/>
        <v>0.49513133639999996</v>
      </c>
      <c r="H144">
        <f t="shared" si="7"/>
        <v>0.50486866360000004</v>
      </c>
      <c r="I144">
        <f t="shared" si="8"/>
        <v>50.486866360000008</v>
      </c>
    </row>
    <row r="145" spans="1:9" x14ac:dyDescent="0.2">
      <c r="A145" s="1" t="s">
        <v>250</v>
      </c>
      <c r="B145" s="1" t="s">
        <v>251</v>
      </c>
      <c r="C145" s="1" t="s">
        <v>38</v>
      </c>
      <c r="D145" s="1" t="s">
        <v>39</v>
      </c>
      <c r="E145" s="1">
        <v>0.83036002099999995</v>
      </c>
      <c r="F145" s="1">
        <v>6.8049436000000005E-2</v>
      </c>
      <c r="G145" s="1">
        <f t="shared" si="6"/>
        <v>0.50071187684000007</v>
      </c>
      <c r="H145">
        <f t="shared" si="7"/>
        <v>0.49928812315999993</v>
      </c>
      <c r="I145">
        <f t="shared" si="8"/>
        <v>49.928812315999991</v>
      </c>
    </row>
    <row r="146" spans="1:9" x14ac:dyDescent="0.2">
      <c r="A146" s="1" t="s">
        <v>252</v>
      </c>
      <c r="B146" s="1" t="s">
        <v>253</v>
      </c>
      <c r="C146" s="1" t="s">
        <v>14</v>
      </c>
      <c r="D146" s="1" t="s">
        <v>15</v>
      </c>
      <c r="E146" s="1">
        <v>0.82546288099999998</v>
      </c>
      <c r="F146" s="1">
        <v>6.9231795999999998E-2</v>
      </c>
      <c r="G146" s="1">
        <f t="shared" si="6"/>
        <v>0.51268715324000003</v>
      </c>
      <c r="H146">
        <f t="shared" si="7"/>
        <v>0.48731284675999997</v>
      </c>
      <c r="I146">
        <f t="shared" si="8"/>
        <v>48.731284675999994</v>
      </c>
    </row>
    <row r="147" spans="1:9" x14ac:dyDescent="0.2">
      <c r="A147" s="1" t="s">
        <v>254</v>
      </c>
      <c r="B147" s="1" t="s">
        <v>255</v>
      </c>
      <c r="C147" s="1" t="s">
        <v>18</v>
      </c>
      <c r="D147" s="1" t="s">
        <v>19</v>
      </c>
      <c r="E147" s="1">
        <v>0.83204535499999999</v>
      </c>
      <c r="F147" s="1">
        <v>7.2286882999999996E-2</v>
      </c>
      <c r="G147" s="1">
        <f t="shared" si="6"/>
        <v>0.5113132227099999</v>
      </c>
      <c r="H147">
        <f t="shared" si="7"/>
        <v>0.4886867772900001</v>
      </c>
      <c r="I147">
        <f t="shared" si="8"/>
        <v>48.868677729000012</v>
      </c>
    </row>
    <row r="148" spans="1:9" x14ac:dyDescent="0.2">
      <c r="A148" s="1" t="s">
        <v>256</v>
      </c>
      <c r="B148" s="1" t="s">
        <v>257</v>
      </c>
      <c r="C148" s="1" t="s">
        <v>10</v>
      </c>
      <c r="D148" s="1" t="s">
        <v>11</v>
      </c>
      <c r="E148" s="1">
        <v>0.82696437300000003</v>
      </c>
      <c r="F148" s="1">
        <v>8.1728412E-2</v>
      </c>
      <c r="G148" s="1">
        <f t="shared" si="6"/>
        <v>0.5497789193999999</v>
      </c>
      <c r="H148">
        <f t="shared" si="7"/>
        <v>0.4502210806000001</v>
      </c>
      <c r="I148">
        <f t="shared" si="8"/>
        <v>45.022108060000008</v>
      </c>
    </row>
    <row r="149" spans="1:9" x14ac:dyDescent="0.2">
      <c r="A149" s="1" t="s">
        <v>258</v>
      </c>
      <c r="B149" s="1" t="s">
        <v>259</v>
      </c>
      <c r="C149" s="1" t="s">
        <v>10</v>
      </c>
      <c r="D149" s="1" t="s">
        <v>11</v>
      </c>
      <c r="E149" s="1">
        <v>0.82671264799999999</v>
      </c>
      <c r="F149" s="1">
        <v>7.7668002999999999E-2</v>
      </c>
      <c r="G149" s="1">
        <f t="shared" si="6"/>
        <v>0.53733032086999999</v>
      </c>
      <c r="H149">
        <f t="shared" si="7"/>
        <v>0.46266967913000001</v>
      </c>
      <c r="I149">
        <f t="shared" si="8"/>
        <v>46.266967913000002</v>
      </c>
    </row>
    <row r="150" spans="1:9" x14ac:dyDescent="0.2">
      <c r="A150" s="1" t="s">
        <v>260</v>
      </c>
      <c r="B150" s="1" t="s">
        <v>261</v>
      </c>
      <c r="C150" s="1" t="s">
        <v>10</v>
      </c>
      <c r="D150" s="1" t="s">
        <v>11</v>
      </c>
      <c r="E150" s="1">
        <v>0.84830315999999995</v>
      </c>
      <c r="F150" s="1">
        <v>6.1794374999999999E-2</v>
      </c>
      <c r="G150" s="1">
        <f t="shared" si="6"/>
        <v>0.45073885995000007</v>
      </c>
      <c r="H150">
        <f t="shared" si="7"/>
        <v>0.54926114004999993</v>
      </c>
      <c r="I150">
        <f t="shared" si="8"/>
        <v>54.926114004999995</v>
      </c>
    </row>
    <row r="151" spans="1:9" x14ac:dyDescent="0.2">
      <c r="A151" s="1" t="s">
        <v>1208</v>
      </c>
      <c r="B151" s="1" t="s">
        <v>1209</v>
      </c>
      <c r="C151" s="1" t="s">
        <v>1176</v>
      </c>
      <c r="D151" s="1" t="s">
        <v>1177</v>
      </c>
      <c r="E151" s="1">
        <v>0.74261980999999999</v>
      </c>
      <c r="F151" s="1">
        <v>0.112987451</v>
      </c>
      <c r="G151" s="1">
        <f t="shared" si="6"/>
        <v>0.79056893887000002</v>
      </c>
      <c r="H151">
        <f t="shared" si="7"/>
        <v>0.20943106112999998</v>
      </c>
      <c r="I151">
        <f t="shared" si="8"/>
        <v>20.943106112999999</v>
      </c>
    </row>
    <row r="152" spans="1:9" x14ac:dyDescent="0.2">
      <c r="A152" s="1" t="s">
        <v>262</v>
      </c>
      <c r="B152" s="1" t="s">
        <v>263</v>
      </c>
      <c r="C152" s="1" t="s">
        <v>98</v>
      </c>
      <c r="D152" s="1" t="s">
        <v>99</v>
      </c>
      <c r="E152" s="1">
        <v>0.80166119499999999</v>
      </c>
      <c r="F152" s="1">
        <v>8.5296767999999995E-2</v>
      </c>
      <c r="G152" s="1">
        <f t="shared" si="6"/>
        <v>0.60359994695999997</v>
      </c>
      <c r="H152">
        <f t="shared" si="7"/>
        <v>0.39640005304000003</v>
      </c>
      <c r="I152">
        <f t="shared" si="8"/>
        <v>39.640005304000006</v>
      </c>
    </row>
    <row r="153" spans="1:9" x14ac:dyDescent="0.2">
      <c r="A153" s="1" t="s">
        <v>264</v>
      </c>
      <c r="B153" s="1" t="s">
        <v>265</v>
      </c>
      <c r="C153" s="1" t="s">
        <v>6</v>
      </c>
      <c r="D153" s="1" t="s">
        <v>7</v>
      </c>
      <c r="E153" s="1">
        <v>0.85064940499999997</v>
      </c>
      <c r="F153" s="1">
        <v>6.0948747999999997E-2</v>
      </c>
      <c r="G153" s="1">
        <f t="shared" si="6"/>
        <v>0.44411653076000002</v>
      </c>
      <c r="H153">
        <f t="shared" si="7"/>
        <v>0.55588346923999998</v>
      </c>
      <c r="I153">
        <f t="shared" si="8"/>
        <v>55.588346924</v>
      </c>
    </row>
    <row r="154" spans="1:9" x14ac:dyDescent="0.2">
      <c r="A154" s="1" t="s">
        <v>266</v>
      </c>
      <c r="B154" s="1" t="s">
        <v>267</v>
      </c>
      <c r="C154" s="1" t="s">
        <v>14</v>
      </c>
      <c r="D154" s="1" t="s">
        <v>15</v>
      </c>
      <c r="E154" s="1">
        <v>0.82389684399999996</v>
      </c>
      <c r="F154" s="1">
        <v>7.3887711999999994E-2</v>
      </c>
      <c r="G154" s="1">
        <f t="shared" si="6"/>
        <v>0.53007734912000004</v>
      </c>
      <c r="H154">
        <f t="shared" si="7"/>
        <v>0.46992265087999996</v>
      </c>
      <c r="I154">
        <f t="shared" si="8"/>
        <v>46.992265087999996</v>
      </c>
    </row>
    <row r="155" spans="1:9" x14ac:dyDescent="0.2">
      <c r="A155" s="1" t="s">
        <v>268</v>
      </c>
      <c r="B155" s="1" t="s">
        <v>269</v>
      </c>
      <c r="C155" s="1" t="s">
        <v>34</v>
      </c>
      <c r="D155" s="1" t="s">
        <v>35</v>
      </c>
      <c r="E155" s="1">
        <v>0.84673785400000001</v>
      </c>
      <c r="F155" s="1">
        <v>6.5807321000000002E-2</v>
      </c>
      <c r="G155" s="1">
        <f t="shared" si="6"/>
        <v>0.46608961285</v>
      </c>
      <c r="H155">
        <f t="shared" si="7"/>
        <v>0.53391038714999994</v>
      </c>
      <c r="I155">
        <f t="shared" si="8"/>
        <v>53.391038714999993</v>
      </c>
    </row>
    <row r="156" spans="1:9" x14ac:dyDescent="0.2">
      <c r="A156" s="1" t="s">
        <v>270</v>
      </c>
      <c r="B156" s="1" t="s">
        <v>271</v>
      </c>
      <c r="C156" s="1" t="s">
        <v>34</v>
      </c>
      <c r="D156" s="1" t="s">
        <v>35</v>
      </c>
      <c r="E156" s="1">
        <v>0.86430982099999998</v>
      </c>
      <c r="F156" s="1">
        <v>5.6512831999999999E-2</v>
      </c>
      <c r="G156" s="1">
        <f t="shared" si="6"/>
        <v>0.40710517816000003</v>
      </c>
      <c r="H156">
        <f t="shared" si="7"/>
        <v>0.59289482183999997</v>
      </c>
      <c r="I156">
        <f t="shared" si="8"/>
        <v>59.289482184000001</v>
      </c>
    </row>
    <row r="157" spans="1:9" x14ac:dyDescent="0.2">
      <c r="A157" s="1" t="s">
        <v>272</v>
      </c>
      <c r="B157" s="1" t="s">
        <v>273</v>
      </c>
      <c r="C157" s="1" t="s">
        <v>34</v>
      </c>
      <c r="D157" s="1" t="s">
        <v>35</v>
      </c>
      <c r="E157" s="1">
        <v>0.86542370400000002</v>
      </c>
      <c r="F157" s="1">
        <v>6.0047508999999999E-2</v>
      </c>
      <c r="G157" s="1">
        <f t="shared" si="6"/>
        <v>0.41643878080999996</v>
      </c>
      <c r="H157">
        <f t="shared" si="7"/>
        <v>0.58356121919000004</v>
      </c>
      <c r="I157">
        <f t="shared" si="8"/>
        <v>58.356121919000003</v>
      </c>
    </row>
    <row r="158" spans="1:9" x14ac:dyDescent="0.2">
      <c r="A158" s="1" t="s">
        <v>1210</v>
      </c>
      <c r="B158" s="1" t="s">
        <v>1211</v>
      </c>
      <c r="C158" s="1" t="s">
        <v>1176</v>
      </c>
      <c r="D158" s="1" t="s">
        <v>1177</v>
      </c>
      <c r="E158" s="1">
        <v>0.74828280599999997</v>
      </c>
      <c r="F158" s="1">
        <v>0.121841833</v>
      </c>
      <c r="G158" s="1">
        <f t="shared" si="6"/>
        <v>0.80912349653000004</v>
      </c>
      <c r="H158">
        <f t="shared" si="7"/>
        <v>0.19087650346999996</v>
      </c>
      <c r="I158">
        <f t="shared" si="8"/>
        <v>19.087650346999997</v>
      </c>
    </row>
    <row r="159" spans="1:9" x14ac:dyDescent="0.2">
      <c r="A159" s="1" t="s">
        <v>274</v>
      </c>
      <c r="B159" s="1" t="s">
        <v>275</v>
      </c>
      <c r="C159" s="1" t="s">
        <v>34</v>
      </c>
      <c r="D159" s="1" t="s">
        <v>35</v>
      </c>
      <c r="E159" s="1">
        <v>0.85885185500000005</v>
      </c>
      <c r="F159" s="1">
        <v>6.4487714000000002E-2</v>
      </c>
      <c r="G159" s="1">
        <f t="shared" si="6"/>
        <v>0.44155493697999992</v>
      </c>
      <c r="H159">
        <f t="shared" si="7"/>
        <v>0.55844506302000008</v>
      </c>
      <c r="I159">
        <f t="shared" si="8"/>
        <v>55.844506302000006</v>
      </c>
    </row>
    <row r="160" spans="1:9" x14ac:dyDescent="0.2">
      <c r="A160" s="1" t="s">
        <v>276</v>
      </c>
      <c r="B160" s="1" t="s">
        <v>277</v>
      </c>
      <c r="C160" s="1" t="s">
        <v>98</v>
      </c>
      <c r="D160" s="1" t="s">
        <v>99</v>
      </c>
      <c r="E160" s="1">
        <v>0.800809459</v>
      </c>
      <c r="F160" s="1">
        <v>8.7396892000000004E-2</v>
      </c>
      <c r="G160" s="1">
        <f t="shared" si="6"/>
        <v>0.61168825652000003</v>
      </c>
      <c r="H160">
        <f t="shared" si="7"/>
        <v>0.38831174347999997</v>
      </c>
      <c r="I160">
        <f t="shared" si="8"/>
        <v>38.831174347999998</v>
      </c>
    </row>
    <row r="161" spans="1:9" x14ac:dyDescent="0.2">
      <c r="A161" s="1" t="s">
        <v>278</v>
      </c>
      <c r="B161" s="1" t="s">
        <v>279</v>
      </c>
      <c r="C161" s="1" t="s">
        <v>6</v>
      </c>
      <c r="D161" s="1" t="s">
        <v>7</v>
      </c>
      <c r="E161" s="1">
        <v>0.86074181599999999</v>
      </c>
      <c r="F161" s="1">
        <v>5.6458504E-2</v>
      </c>
      <c r="G161" s="1">
        <f t="shared" si="6"/>
        <v>0.4129272068</v>
      </c>
      <c r="H161">
        <f t="shared" si="7"/>
        <v>0.58707279319999994</v>
      </c>
      <c r="I161">
        <f t="shared" si="8"/>
        <v>58.707279319999998</v>
      </c>
    </row>
    <row r="162" spans="1:9" x14ac:dyDescent="0.2">
      <c r="A162" s="1" t="s">
        <v>280</v>
      </c>
      <c r="B162" s="1" t="s">
        <v>281</v>
      </c>
      <c r="C162" s="1" t="s">
        <v>18</v>
      </c>
      <c r="D162" s="1" t="s">
        <v>19</v>
      </c>
      <c r="E162" s="1">
        <v>0.84013247199999996</v>
      </c>
      <c r="F162" s="1">
        <v>5.9147285000000001E-2</v>
      </c>
      <c r="G162" s="1">
        <f t="shared" si="6"/>
        <v>0.45607434049000006</v>
      </c>
      <c r="H162">
        <f t="shared" si="7"/>
        <v>0.54392565950999994</v>
      </c>
      <c r="I162">
        <f t="shared" si="8"/>
        <v>54.392565950999995</v>
      </c>
    </row>
    <row r="163" spans="1:9" x14ac:dyDescent="0.2">
      <c r="A163" s="1" t="s">
        <v>282</v>
      </c>
      <c r="B163" s="1" t="s">
        <v>283</v>
      </c>
      <c r="C163" s="1" t="s">
        <v>18</v>
      </c>
      <c r="D163" s="1" t="s">
        <v>19</v>
      </c>
      <c r="E163" s="1">
        <v>0.80826084399999998</v>
      </c>
      <c r="F163" s="1">
        <v>8.2560009000000004E-2</v>
      </c>
      <c r="G163" s="1">
        <f t="shared" si="6"/>
        <v>0.58383701061000004</v>
      </c>
      <c r="H163">
        <f t="shared" si="7"/>
        <v>0.41616298938999996</v>
      </c>
      <c r="I163">
        <f t="shared" si="8"/>
        <v>41.616298938999996</v>
      </c>
    </row>
    <row r="164" spans="1:9" x14ac:dyDescent="0.2">
      <c r="A164" s="1" t="s">
        <v>284</v>
      </c>
      <c r="B164" s="1" t="s">
        <v>285</v>
      </c>
      <c r="C164" s="1" t="s">
        <v>18</v>
      </c>
      <c r="D164" s="1" t="s">
        <v>19</v>
      </c>
      <c r="E164" s="1">
        <v>0.81408574300000003</v>
      </c>
      <c r="F164" s="1">
        <v>8.5624847000000004E-2</v>
      </c>
      <c r="G164" s="1">
        <f t="shared" si="6"/>
        <v>0.58376671675000003</v>
      </c>
      <c r="H164">
        <f t="shared" si="7"/>
        <v>0.41623328324999997</v>
      </c>
      <c r="I164">
        <f t="shared" si="8"/>
        <v>41.623328324999996</v>
      </c>
    </row>
    <row r="165" spans="1:9" x14ac:dyDescent="0.2">
      <c r="A165" s="1" t="s">
        <v>286</v>
      </c>
      <c r="B165" s="1" t="s">
        <v>287</v>
      </c>
      <c r="C165" s="1" t="s">
        <v>18</v>
      </c>
      <c r="D165" s="1" t="s">
        <v>19</v>
      </c>
      <c r="E165" s="1">
        <v>0.82142817199999996</v>
      </c>
      <c r="F165" s="1">
        <v>6.7165932999999997E-2</v>
      </c>
      <c r="G165" s="1">
        <f t="shared" si="6"/>
        <v>0.51291667865000001</v>
      </c>
      <c r="H165">
        <f t="shared" si="7"/>
        <v>0.48708332134999999</v>
      </c>
      <c r="I165">
        <f t="shared" si="8"/>
        <v>48.708332134999999</v>
      </c>
    </row>
    <row r="166" spans="1:9" x14ac:dyDescent="0.2">
      <c r="A166" s="1" t="s">
        <v>288</v>
      </c>
      <c r="B166" s="1" t="s">
        <v>289</v>
      </c>
      <c r="C166" s="1" t="s">
        <v>38</v>
      </c>
      <c r="D166" s="1" t="s">
        <v>39</v>
      </c>
      <c r="E166" s="1">
        <v>0.83390346599999998</v>
      </c>
      <c r="F166" s="1">
        <v>7.9044489999999995E-2</v>
      </c>
      <c r="G166" s="1">
        <f t="shared" si="6"/>
        <v>0.52961321041999998</v>
      </c>
      <c r="H166">
        <f t="shared" si="7"/>
        <v>0.47038678958000002</v>
      </c>
      <c r="I166">
        <f t="shared" si="8"/>
        <v>47.038678958000006</v>
      </c>
    </row>
    <row r="167" spans="1:9" x14ac:dyDescent="0.2">
      <c r="A167" s="1" t="s">
        <v>290</v>
      </c>
      <c r="B167" s="1" t="s">
        <v>291</v>
      </c>
      <c r="C167" s="1" t="s">
        <v>6</v>
      </c>
      <c r="D167" s="1" t="s">
        <v>7</v>
      </c>
      <c r="E167" s="1">
        <v>0.85308516400000001</v>
      </c>
      <c r="F167" s="1">
        <v>5.2608785999999998E-2</v>
      </c>
      <c r="G167" s="1">
        <f t="shared" si="6"/>
        <v>0.41358677609999994</v>
      </c>
      <c r="H167">
        <f t="shared" si="7"/>
        <v>0.58641322390000006</v>
      </c>
      <c r="I167">
        <f t="shared" si="8"/>
        <v>58.641322390000006</v>
      </c>
    </row>
    <row r="168" spans="1:9" x14ac:dyDescent="0.2">
      <c r="A168" s="1" t="s">
        <v>292</v>
      </c>
      <c r="B168" s="1" t="s">
        <v>293</v>
      </c>
      <c r="C168" s="1" t="s">
        <v>38</v>
      </c>
      <c r="D168" s="1" t="s">
        <v>39</v>
      </c>
      <c r="E168" s="1">
        <v>0.81119136800000002</v>
      </c>
      <c r="F168" s="1">
        <v>8.5732120999999994E-2</v>
      </c>
      <c r="G168" s="1">
        <f t="shared" si="6"/>
        <v>0.5889693253299999</v>
      </c>
      <c r="H168">
        <f t="shared" si="7"/>
        <v>0.4110306746700001</v>
      </c>
      <c r="I168">
        <f t="shared" si="8"/>
        <v>41.10306746700001</v>
      </c>
    </row>
    <row r="169" spans="1:9" x14ac:dyDescent="0.2">
      <c r="A169" s="1" t="s">
        <v>294</v>
      </c>
      <c r="B169" s="1" t="s">
        <v>295</v>
      </c>
      <c r="C169" s="1" t="s">
        <v>38</v>
      </c>
      <c r="D169" s="1" t="s">
        <v>39</v>
      </c>
      <c r="E169" s="1">
        <v>0.80190441599999995</v>
      </c>
      <c r="F169" s="1">
        <v>8.8879873999999998E-2</v>
      </c>
      <c r="G169" s="1">
        <f t="shared" si="6"/>
        <v>0.61454978170000008</v>
      </c>
      <c r="H169">
        <f t="shared" si="7"/>
        <v>0.38545021829999992</v>
      </c>
      <c r="I169">
        <f t="shared" si="8"/>
        <v>38.545021829999996</v>
      </c>
    </row>
    <row r="170" spans="1:9" x14ac:dyDescent="0.2">
      <c r="A170" s="1" t="s">
        <v>296</v>
      </c>
      <c r="B170" s="1" t="s">
        <v>297</v>
      </c>
      <c r="C170" s="1" t="s">
        <v>38</v>
      </c>
      <c r="D170" s="1" t="s">
        <v>39</v>
      </c>
      <c r="E170" s="1">
        <v>0.78896103900000003</v>
      </c>
      <c r="F170" s="1">
        <v>9.8953594000000006E-2</v>
      </c>
      <c r="G170" s="1">
        <f t="shared" si="6"/>
        <v>0.66822834745999993</v>
      </c>
      <c r="H170">
        <f t="shared" si="7"/>
        <v>0.33177165254000007</v>
      </c>
      <c r="I170">
        <f t="shared" si="8"/>
        <v>33.177165254000009</v>
      </c>
    </row>
    <row r="171" spans="1:9" x14ac:dyDescent="0.2">
      <c r="A171" s="1" t="s">
        <v>298</v>
      </c>
      <c r="B171" s="1" t="s">
        <v>299</v>
      </c>
      <c r="C171" s="1" t="s">
        <v>6</v>
      </c>
      <c r="D171" s="1" t="s">
        <v>7</v>
      </c>
      <c r="E171" s="1">
        <v>0.85242232100000004</v>
      </c>
      <c r="F171" s="1">
        <v>5.5396259000000003E-2</v>
      </c>
      <c r="G171" s="1">
        <f t="shared" si="6"/>
        <v>0.42353664174999994</v>
      </c>
      <c r="H171">
        <f t="shared" si="7"/>
        <v>0.57646335825000006</v>
      </c>
      <c r="I171">
        <f t="shared" si="8"/>
        <v>57.646335825000008</v>
      </c>
    </row>
    <row r="172" spans="1:9" x14ac:dyDescent="0.2">
      <c r="A172" s="1" t="s">
        <v>300</v>
      </c>
      <c r="B172" s="1" t="s">
        <v>301</v>
      </c>
      <c r="C172" s="1" t="s">
        <v>6</v>
      </c>
      <c r="D172" s="1" t="s">
        <v>7</v>
      </c>
      <c r="E172" s="1">
        <v>0.78612453199999999</v>
      </c>
      <c r="F172" s="1">
        <v>9.3350407999999996E-2</v>
      </c>
      <c r="G172" s="1">
        <f t="shared" si="6"/>
        <v>0.6552315796</v>
      </c>
      <c r="H172">
        <f t="shared" si="7"/>
        <v>0.3447684204</v>
      </c>
      <c r="I172">
        <f t="shared" si="8"/>
        <v>34.476842040000001</v>
      </c>
    </row>
    <row r="173" spans="1:9" x14ac:dyDescent="0.2">
      <c r="A173" s="1" t="s">
        <v>302</v>
      </c>
      <c r="B173" s="1" t="s">
        <v>303</v>
      </c>
      <c r="C173" s="1" t="s">
        <v>10</v>
      </c>
      <c r="D173" s="1" t="s">
        <v>11</v>
      </c>
      <c r="E173" s="1">
        <v>0.82705130199999999</v>
      </c>
      <c r="F173" s="1">
        <v>6.7667477000000004E-2</v>
      </c>
      <c r="G173" s="1">
        <f t="shared" si="6"/>
        <v>0.50505971473</v>
      </c>
      <c r="H173">
        <f t="shared" si="7"/>
        <v>0.49494028527</v>
      </c>
      <c r="I173">
        <f t="shared" si="8"/>
        <v>49.494028526999998</v>
      </c>
    </row>
    <row r="174" spans="1:9" x14ac:dyDescent="0.2">
      <c r="A174" s="1" t="s">
        <v>304</v>
      </c>
      <c r="B174" s="1" t="s">
        <v>305</v>
      </c>
      <c r="C174" s="1" t="s">
        <v>10</v>
      </c>
      <c r="D174" s="1" t="s">
        <v>11</v>
      </c>
      <c r="E174" s="1">
        <v>0.79984550899999995</v>
      </c>
      <c r="F174" s="1">
        <v>9.2684473000000003E-2</v>
      </c>
      <c r="G174" s="1">
        <f t="shared" si="6"/>
        <v>0.63006932429000007</v>
      </c>
      <c r="H174">
        <f t="shared" si="7"/>
        <v>0.36993067570999993</v>
      </c>
      <c r="I174">
        <f t="shared" si="8"/>
        <v>36.99306757099999</v>
      </c>
    </row>
    <row r="175" spans="1:9" x14ac:dyDescent="0.2">
      <c r="A175" s="1" t="s">
        <v>306</v>
      </c>
      <c r="B175" s="1" t="s">
        <v>307</v>
      </c>
      <c r="C175" s="1" t="s">
        <v>34</v>
      </c>
      <c r="D175" s="1" t="s">
        <v>35</v>
      </c>
      <c r="E175" s="1">
        <v>0.86220226099999997</v>
      </c>
      <c r="F175" s="1">
        <v>5.7311459000000002E-2</v>
      </c>
      <c r="G175" s="1">
        <f t="shared" si="6"/>
        <v>0.41317752655000006</v>
      </c>
      <c r="H175">
        <f t="shared" si="7"/>
        <v>0.58682247344999994</v>
      </c>
      <c r="I175">
        <f t="shared" si="8"/>
        <v>58.682247344999993</v>
      </c>
    </row>
    <row r="176" spans="1:9" x14ac:dyDescent="0.2">
      <c r="A176" s="1" t="s">
        <v>1212</v>
      </c>
      <c r="B176" s="1" t="s">
        <v>1213</v>
      </c>
      <c r="C176" s="1" t="s">
        <v>1176</v>
      </c>
      <c r="D176" s="1" t="s">
        <v>1177</v>
      </c>
      <c r="E176" s="1">
        <v>0.72840666899999995</v>
      </c>
      <c r="F176" s="1">
        <v>0.11960427899999999</v>
      </c>
      <c r="G176" s="1">
        <f t="shared" si="6"/>
        <v>0.83542236050999996</v>
      </c>
      <c r="H176">
        <f t="shared" si="7"/>
        <v>0.16457763949000004</v>
      </c>
      <c r="I176">
        <f t="shared" si="8"/>
        <v>16.457763949000004</v>
      </c>
    </row>
    <row r="177" spans="1:9" x14ac:dyDescent="0.2">
      <c r="A177" s="1" t="s">
        <v>1214</v>
      </c>
      <c r="B177" s="1" t="s">
        <v>1215</v>
      </c>
      <c r="C177" s="1" t="s">
        <v>1176</v>
      </c>
      <c r="D177" s="1" t="s">
        <v>1177</v>
      </c>
      <c r="E177" s="1">
        <v>0.74411707699999996</v>
      </c>
      <c r="F177" s="1">
        <v>0.109548415</v>
      </c>
      <c r="G177" s="1">
        <f t="shared" si="6"/>
        <v>0.77715178619000003</v>
      </c>
      <c r="H177">
        <f t="shared" si="7"/>
        <v>0.22284821380999997</v>
      </c>
      <c r="I177">
        <f t="shared" si="8"/>
        <v>22.284821380999997</v>
      </c>
    </row>
    <row r="178" spans="1:9" x14ac:dyDescent="0.2">
      <c r="A178" s="1" t="s">
        <v>1216</v>
      </c>
      <c r="B178" s="1" t="s">
        <v>1217</v>
      </c>
      <c r="C178" s="1" t="s">
        <v>1176</v>
      </c>
      <c r="D178" s="1" t="s">
        <v>1177</v>
      </c>
      <c r="E178" s="1">
        <v>0.73959199099999995</v>
      </c>
      <c r="F178" s="1">
        <v>0.11708538</v>
      </c>
      <c r="G178" s="1">
        <f t="shared" si="6"/>
        <v>0.80864610972000006</v>
      </c>
      <c r="H178">
        <f t="shared" si="7"/>
        <v>0.19135389027999994</v>
      </c>
      <c r="I178">
        <f t="shared" si="8"/>
        <v>19.135389027999995</v>
      </c>
    </row>
    <row r="179" spans="1:9" x14ac:dyDescent="0.2">
      <c r="A179" s="1" t="s">
        <v>1218</v>
      </c>
      <c r="B179" s="1" t="s">
        <v>1219</v>
      </c>
      <c r="C179" s="1" t="s">
        <v>1176</v>
      </c>
      <c r="D179" s="1" t="s">
        <v>1177</v>
      </c>
      <c r="E179" s="1">
        <v>0.76901505699999995</v>
      </c>
      <c r="F179" s="1">
        <v>9.6506189000000006E-2</v>
      </c>
      <c r="G179" s="1">
        <f t="shared" si="6"/>
        <v>0.69397932337000012</v>
      </c>
      <c r="H179">
        <f t="shared" si="7"/>
        <v>0.30602067662999988</v>
      </c>
      <c r="I179">
        <f t="shared" si="8"/>
        <v>30.602067662999989</v>
      </c>
    </row>
    <row r="180" spans="1:9" x14ac:dyDescent="0.2">
      <c r="A180" s="1" t="s">
        <v>308</v>
      </c>
      <c r="B180" s="1" t="s">
        <v>309</v>
      </c>
      <c r="C180" s="1" t="s">
        <v>46</v>
      </c>
      <c r="D180" s="1" t="s">
        <v>47</v>
      </c>
      <c r="E180" s="1">
        <v>0.84743471000000004</v>
      </c>
      <c r="F180" s="1">
        <v>5.8760882E-2</v>
      </c>
      <c r="G180" s="1">
        <f t="shared" si="6"/>
        <v>0.4425816831399999</v>
      </c>
      <c r="H180">
        <f t="shared" si="7"/>
        <v>0.5574183168600001</v>
      </c>
      <c r="I180">
        <f t="shared" si="8"/>
        <v>55.741831686000012</v>
      </c>
    </row>
    <row r="181" spans="1:9" x14ac:dyDescent="0.2">
      <c r="A181" s="1" t="s">
        <v>1140</v>
      </c>
      <c r="B181" s="1" t="s">
        <v>1141</v>
      </c>
      <c r="C181" s="1" t="s">
        <v>1110</v>
      </c>
      <c r="D181" s="1" t="s">
        <v>1111</v>
      </c>
      <c r="E181" s="1">
        <v>0.80715291199999994</v>
      </c>
      <c r="F181" s="1">
        <v>8.5754505999999994E-2</v>
      </c>
      <c r="G181" s="1">
        <f t="shared" si="6"/>
        <v>0.59582489185999998</v>
      </c>
      <c r="H181">
        <f t="shared" si="7"/>
        <v>0.40417510814000002</v>
      </c>
      <c r="I181">
        <f t="shared" si="8"/>
        <v>40.417510814000003</v>
      </c>
    </row>
    <row r="182" spans="1:9" x14ac:dyDescent="0.2">
      <c r="A182" s="1" t="s">
        <v>310</v>
      </c>
      <c r="B182" s="1" t="s">
        <v>311</v>
      </c>
      <c r="C182" s="1" t="s">
        <v>34</v>
      </c>
      <c r="D182" s="1" t="s">
        <v>35</v>
      </c>
      <c r="E182" s="1">
        <v>0.87714648200000001</v>
      </c>
      <c r="F182" s="1">
        <v>5.2474590000000002E-2</v>
      </c>
      <c r="G182" s="1">
        <f t="shared" si="6"/>
        <v>0.37273836053999998</v>
      </c>
      <c r="H182">
        <f t="shared" si="7"/>
        <v>0.62726163946000002</v>
      </c>
      <c r="I182">
        <f t="shared" si="8"/>
        <v>62.726163946</v>
      </c>
    </row>
    <row r="183" spans="1:9" x14ac:dyDescent="0.2">
      <c r="A183" s="1" t="s">
        <v>312</v>
      </c>
      <c r="B183" s="1" t="s">
        <v>313</v>
      </c>
      <c r="C183" s="1" t="s">
        <v>34</v>
      </c>
      <c r="D183" s="1" t="s">
        <v>35</v>
      </c>
      <c r="E183" s="1">
        <v>0.87480138100000004</v>
      </c>
      <c r="F183" s="1">
        <v>5.6012586000000003E-2</v>
      </c>
      <c r="G183" s="1">
        <f t="shared" si="6"/>
        <v>0.38789357753999992</v>
      </c>
      <c r="H183">
        <f t="shared" si="7"/>
        <v>0.61210642246000013</v>
      </c>
      <c r="I183">
        <f t="shared" si="8"/>
        <v>61.210642246000013</v>
      </c>
    </row>
    <row r="184" spans="1:9" x14ac:dyDescent="0.2">
      <c r="A184" s="1" t="s">
        <v>314</v>
      </c>
      <c r="B184" s="1" t="s">
        <v>315</v>
      </c>
      <c r="C184" s="1" t="s">
        <v>34</v>
      </c>
      <c r="D184" s="1" t="s">
        <v>35</v>
      </c>
      <c r="E184" s="1">
        <v>0.87707864599999996</v>
      </c>
      <c r="F184" s="1">
        <v>5.6572806000000003E-2</v>
      </c>
      <c r="G184" s="1">
        <f t="shared" si="6"/>
        <v>0.38584366974000006</v>
      </c>
      <c r="H184">
        <f t="shared" si="7"/>
        <v>0.61415633025999994</v>
      </c>
      <c r="I184">
        <f t="shared" si="8"/>
        <v>61.415633025999995</v>
      </c>
    </row>
    <row r="185" spans="1:9" x14ac:dyDescent="0.2">
      <c r="A185" s="1" t="s">
        <v>316</v>
      </c>
      <c r="B185" s="1" t="s">
        <v>317</v>
      </c>
      <c r="C185" s="1" t="s">
        <v>6</v>
      </c>
      <c r="D185" s="1" t="s">
        <v>7</v>
      </c>
      <c r="E185" s="1">
        <v>0.86798342699999997</v>
      </c>
      <c r="F185" s="1">
        <v>4.7590669000000002E-2</v>
      </c>
      <c r="G185" s="1">
        <f t="shared" si="6"/>
        <v>0.37265026337000007</v>
      </c>
      <c r="H185">
        <f t="shared" si="7"/>
        <v>0.62734973662999993</v>
      </c>
      <c r="I185">
        <f t="shared" si="8"/>
        <v>62.734973662999991</v>
      </c>
    </row>
    <row r="186" spans="1:9" x14ac:dyDescent="0.2">
      <c r="A186" s="1" t="s">
        <v>318</v>
      </c>
      <c r="B186" s="1" t="s">
        <v>319</v>
      </c>
      <c r="C186" s="1" t="s">
        <v>98</v>
      </c>
      <c r="D186" s="1" t="s">
        <v>99</v>
      </c>
      <c r="E186" s="1">
        <v>0.74308037400000004</v>
      </c>
      <c r="F186" s="1">
        <v>0.13264002899999999</v>
      </c>
      <c r="G186" s="1">
        <f t="shared" si="6"/>
        <v>0.85209386360999995</v>
      </c>
      <c r="H186">
        <f t="shared" si="7"/>
        <v>0.14790613639000005</v>
      </c>
      <c r="I186">
        <f t="shared" si="8"/>
        <v>14.790613639000005</v>
      </c>
    </row>
    <row r="187" spans="1:9" x14ac:dyDescent="0.2">
      <c r="A187" s="1" t="s">
        <v>320</v>
      </c>
      <c r="B187" s="1" t="s">
        <v>321</v>
      </c>
      <c r="C187" s="1" t="s">
        <v>6</v>
      </c>
      <c r="D187" s="1" t="s">
        <v>7</v>
      </c>
      <c r="E187" s="1">
        <v>0.85258555800000002</v>
      </c>
      <c r="F187" s="1">
        <v>5.2861684999999999E-2</v>
      </c>
      <c r="G187" s="1">
        <f t="shared" si="6"/>
        <v>0.41522780400999992</v>
      </c>
      <c r="H187">
        <f t="shared" si="7"/>
        <v>0.58477219599000008</v>
      </c>
      <c r="I187">
        <f t="shared" si="8"/>
        <v>58.477219599000009</v>
      </c>
    </row>
    <row r="188" spans="1:9" x14ac:dyDescent="0.2">
      <c r="A188" s="1" t="s">
        <v>322</v>
      </c>
      <c r="B188" s="1" t="s">
        <v>323</v>
      </c>
      <c r="C188" s="1" t="s">
        <v>34</v>
      </c>
      <c r="D188" s="1" t="s">
        <v>35</v>
      </c>
      <c r="E188" s="1">
        <v>0.87972587300000005</v>
      </c>
      <c r="F188" s="1">
        <v>5.8091793000000003E-2</v>
      </c>
      <c r="G188" s="1">
        <f t="shared" si="6"/>
        <v>0.38621151716999991</v>
      </c>
      <c r="H188">
        <f t="shared" si="7"/>
        <v>0.61378848283000009</v>
      </c>
      <c r="I188">
        <f t="shared" si="8"/>
        <v>61.378848283000011</v>
      </c>
    </row>
    <row r="189" spans="1:9" x14ac:dyDescent="0.2">
      <c r="A189" s="1" t="s">
        <v>324</v>
      </c>
      <c r="B189" s="1" t="s">
        <v>325</v>
      </c>
      <c r="C189" s="1" t="s">
        <v>6</v>
      </c>
      <c r="D189" s="1" t="s">
        <v>7</v>
      </c>
      <c r="E189" s="1">
        <v>0.84369771900000001</v>
      </c>
      <c r="F189" s="1">
        <v>5.6341903999999998E-2</v>
      </c>
      <c r="G189" s="1">
        <f t="shared" si="6"/>
        <v>0.44119166775999996</v>
      </c>
      <c r="H189">
        <f t="shared" si="7"/>
        <v>0.55880833224000004</v>
      </c>
      <c r="I189">
        <f t="shared" si="8"/>
        <v>55.880833224000007</v>
      </c>
    </row>
    <row r="190" spans="1:9" x14ac:dyDescent="0.2">
      <c r="A190" s="1" t="s">
        <v>1220</v>
      </c>
      <c r="B190" s="1" t="s">
        <v>1221</v>
      </c>
      <c r="C190" s="1" t="s">
        <v>1176</v>
      </c>
      <c r="D190" s="1" t="s">
        <v>1177</v>
      </c>
      <c r="E190" s="1">
        <v>0.76432795499999995</v>
      </c>
      <c r="F190" s="1">
        <v>0.10781297300000001</v>
      </c>
      <c r="G190" s="1">
        <f t="shared" si="6"/>
        <v>0.73769616001000005</v>
      </c>
      <c r="H190">
        <f t="shared" si="7"/>
        <v>0.26230383998999995</v>
      </c>
      <c r="I190">
        <f t="shared" si="8"/>
        <v>26.230383998999997</v>
      </c>
    </row>
    <row r="191" spans="1:9" x14ac:dyDescent="0.2">
      <c r="A191" s="1" t="s">
        <v>1174</v>
      </c>
      <c r="B191" s="1" t="s">
        <v>1175</v>
      </c>
      <c r="C191" s="1" t="s">
        <v>1176</v>
      </c>
      <c r="D191" s="1" t="s">
        <v>1177</v>
      </c>
      <c r="E191" s="1">
        <v>0.80251402100000002</v>
      </c>
      <c r="F191" s="1">
        <v>8.6916553999999993E-2</v>
      </c>
      <c r="G191" s="1">
        <f t="shared" si="6"/>
        <v>0.6073019208999999</v>
      </c>
      <c r="H191">
        <f t="shared" si="7"/>
        <v>0.3926980791000001</v>
      </c>
      <c r="I191">
        <f t="shared" si="8"/>
        <v>39.269807910000011</v>
      </c>
    </row>
    <row r="192" spans="1:9" x14ac:dyDescent="0.2">
      <c r="A192" s="1" t="s">
        <v>326</v>
      </c>
      <c r="B192" s="1" t="s">
        <v>327</v>
      </c>
      <c r="C192" s="1" t="s">
        <v>6</v>
      </c>
      <c r="D192" s="1" t="s">
        <v>7</v>
      </c>
      <c r="E192" s="1">
        <v>0.85101598300000003</v>
      </c>
      <c r="F192" s="1">
        <v>5.8216103999999998E-2</v>
      </c>
      <c r="G192" s="1">
        <f t="shared" si="6"/>
        <v>0.43483819823999992</v>
      </c>
      <c r="H192">
        <f t="shared" si="7"/>
        <v>0.56516180176000008</v>
      </c>
      <c r="I192">
        <f t="shared" si="8"/>
        <v>56.516180176000006</v>
      </c>
    </row>
    <row r="193" spans="1:9" x14ac:dyDescent="0.2">
      <c r="A193" s="1" t="s">
        <v>328</v>
      </c>
      <c r="B193" s="1" t="s">
        <v>329</v>
      </c>
      <c r="C193" s="1" t="s">
        <v>6</v>
      </c>
      <c r="D193" s="1" t="s">
        <v>7</v>
      </c>
      <c r="E193" s="1">
        <v>0.77013561699999999</v>
      </c>
      <c r="F193" s="1">
        <v>0.10303116800000001</v>
      </c>
      <c r="G193" s="1">
        <f t="shared" si="6"/>
        <v>0.71278096599999996</v>
      </c>
      <c r="H193">
        <f t="shared" si="7"/>
        <v>0.28721903400000004</v>
      </c>
      <c r="I193">
        <f t="shared" si="8"/>
        <v>28.721903400000002</v>
      </c>
    </row>
    <row r="194" spans="1:9" x14ac:dyDescent="0.2">
      <c r="A194" s="1" t="s">
        <v>330</v>
      </c>
      <c r="B194" s="1" t="s">
        <v>331</v>
      </c>
      <c r="C194" s="1" t="s">
        <v>54</v>
      </c>
      <c r="D194" s="1" t="s">
        <v>55</v>
      </c>
      <c r="E194" s="1">
        <v>0.85075467800000004</v>
      </c>
      <c r="F194" s="1">
        <v>5.5234311000000001E-2</v>
      </c>
      <c r="G194" s="1">
        <f t="shared" si="6"/>
        <v>0.42582490682999991</v>
      </c>
      <c r="H194">
        <f t="shared" si="7"/>
        <v>0.57417509317000004</v>
      </c>
      <c r="I194">
        <f t="shared" si="8"/>
        <v>57.417509317000004</v>
      </c>
    </row>
    <row r="195" spans="1:9" x14ac:dyDescent="0.2">
      <c r="A195" s="1" t="s">
        <v>332</v>
      </c>
      <c r="B195" s="1" t="s">
        <v>333</v>
      </c>
      <c r="C195" s="1" t="s">
        <v>6</v>
      </c>
      <c r="D195" s="1" t="s">
        <v>7</v>
      </c>
      <c r="E195" s="1">
        <v>0.81414934299999997</v>
      </c>
      <c r="F195" s="1">
        <v>7.2894813000000003E-2</v>
      </c>
      <c r="G195" s="1">
        <f t="shared" ref="G195:G258" si="9">1.68*(1-E195)+3.17*F195</f>
        <v>0.54330566096999999</v>
      </c>
      <c r="H195">
        <f t="shared" ref="H195:H258" si="10">1-G195</f>
        <v>0.45669433903000001</v>
      </c>
      <c r="I195">
        <f t="shared" ref="I195:I258" si="11">100*H195</f>
        <v>45.669433902999998</v>
      </c>
    </row>
    <row r="196" spans="1:9" x14ac:dyDescent="0.2">
      <c r="A196" s="1" t="s">
        <v>334</v>
      </c>
      <c r="B196" s="1" t="s">
        <v>335</v>
      </c>
      <c r="C196" s="1" t="s">
        <v>6</v>
      </c>
      <c r="D196" s="1" t="s">
        <v>7</v>
      </c>
      <c r="E196" s="1">
        <v>0.78444427000000005</v>
      </c>
      <c r="F196" s="1">
        <v>9.1349842000000001E-2</v>
      </c>
      <c r="G196" s="1">
        <f t="shared" si="9"/>
        <v>0.65171262553999987</v>
      </c>
      <c r="H196">
        <f t="shared" si="10"/>
        <v>0.34828737446000013</v>
      </c>
      <c r="I196">
        <f t="shared" si="11"/>
        <v>34.828737446000012</v>
      </c>
    </row>
    <row r="197" spans="1:9" x14ac:dyDescent="0.2">
      <c r="A197" s="1" t="s">
        <v>336</v>
      </c>
      <c r="B197" s="1" t="s">
        <v>337</v>
      </c>
      <c r="C197" s="1" t="s">
        <v>6</v>
      </c>
      <c r="D197" s="1" t="s">
        <v>7</v>
      </c>
      <c r="E197" s="1">
        <v>0.84008166399999995</v>
      </c>
      <c r="F197" s="1">
        <v>5.9527117999999997E-2</v>
      </c>
      <c r="G197" s="1">
        <f t="shared" si="9"/>
        <v>0.45736376854000005</v>
      </c>
      <c r="H197">
        <f t="shared" si="10"/>
        <v>0.54263623145999995</v>
      </c>
      <c r="I197">
        <f t="shared" si="11"/>
        <v>54.263623145999993</v>
      </c>
    </row>
    <row r="198" spans="1:9" x14ac:dyDescent="0.2">
      <c r="A198" s="1" t="s">
        <v>1222</v>
      </c>
      <c r="B198" s="1" t="s">
        <v>1223</v>
      </c>
      <c r="C198" s="1" t="s">
        <v>1176</v>
      </c>
      <c r="D198" s="1" t="s">
        <v>1177</v>
      </c>
      <c r="E198" s="1">
        <v>0.78632343400000004</v>
      </c>
      <c r="F198" s="1">
        <v>8.6028028000000006E-2</v>
      </c>
      <c r="G198" s="1">
        <f t="shared" si="9"/>
        <v>0.63168547963999999</v>
      </c>
      <c r="H198">
        <f t="shared" si="10"/>
        <v>0.36831452036000001</v>
      </c>
      <c r="I198">
        <f t="shared" si="11"/>
        <v>36.831452036000002</v>
      </c>
    </row>
    <row r="199" spans="1:9" x14ac:dyDescent="0.2">
      <c r="A199" s="1" t="s">
        <v>1224</v>
      </c>
      <c r="B199" s="1" t="s">
        <v>1225</v>
      </c>
      <c r="C199" s="1" t="s">
        <v>1176</v>
      </c>
      <c r="D199" s="1" t="s">
        <v>1177</v>
      </c>
      <c r="E199" s="1">
        <v>0.80988026700000004</v>
      </c>
      <c r="F199" s="1">
        <v>7.3030032999999994E-2</v>
      </c>
      <c r="G199" s="1">
        <f t="shared" si="9"/>
        <v>0.55090635604999993</v>
      </c>
      <c r="H199">
        <f t="shared" si="10"/>
        <v>0.44909364395000007</v>
      </c>
      <c r="I199">
        <f t="shared" si="11"/>
        <v>44.909364395000004</v>
      </c>
    </row>
    <row r="200" spans="1:9" x14ac:dyDescent="0.2">
      <c r="A200" s="1" t="s">
        <v>1226</v>
      </c>
      <c r="B200" s="1" t="s">
        <v>1227</v>
      </c>
      <c r="C200" s="1" t="s">
        <v>1176</v>
      </c>
      <c r="D200" s="1" t="s">
        <v>1177</v>
      </c>
      <c r="E200" s="1">
        <v>0.81113580799999996</v>
      </c>
      <c r="F200" s="1">
        <v>7.071769E-2</v>
      </c>
      <c r="G200" s="1">
        <f t="shared" si="9"/>
        <v>0.54146691986000006</v>
      </c>
      <c r="H200">
        <f t="shared" si="10"/>
        <v>0.45853308013999994</v>
      </c>
      <c r="I200">
        <f t="shared" si="11"/>
        <v>45.853308013999992</v>
      </c>
    </row>
    <row r="201" spans="1:9" x14ac:dyDescent="0.2">
      <c r="A201" s="1" t="s">
        <v>1228</v>
      </c>
      <c r="B201" s="1" t="s">
        <v>1229</v>
      </c>
      <c r="C201" s="1" t="s">
        <v>1176</v>
      </c>
      <c r="D201" s="1" t="s">
        <v>1177</v>
      </c>
      <c r="E201" s="1">
        <v>0.80262727599999995</v>
      </c>
      <c r="F201" s="1">
        <v>7.7753173999999994E-2</v>
      </c>
      <c r="G201" s="1">
        <f t="shared" si="9"/>
        <v>0.5780637379000001</v>
      </c>
      <c r="H201">
        <f t="shared" si="10"/>
        <v>0.4219362620999999</v>
      </c>
      <c r="I201">
        <f t="shared" si="11"/>
        <v>42.193626209999991</v>
      </c>
    </row>
    <row r="202" spans="1:9" x14ac:dyDescent="0.2">
      <c r="A202" s="1" t="s">
        <v>1230</v>
      </c>
      <c r="B202" s="1" t="s">
        <v>1231</v>
      </c>
      <c r="C202" s="1" t="s">
        <v>1176</v>
      </c>
      <c r="D202" s="1" t="s">
        <v>1177</v>
      </c>
      <c r="E202" s="1">
        <v>0.80902548699999999</v>
      </c>
      <c r="F202" s="1">
        <v>7.5618396000000004E-2</v>
      </c>
      <c r="G202" s="1">
        <f t="shared" si="9"/>
        <v>0.56054749715999996</v>
      </c>
      <c r="H202">
        <f t="shared" si="10"/>
        <v>0.43945250284000004</v>
      </c>
      <c r="I202">
        <f t="shared" si="11"/>
        <v>43.945250284000004</v>
      </c>
    </row>
    <row r="203" spans="1:9" x14ac:dyDescent="0.2">
      <c r="A203" s="1" t="s">
        <v>338</v>
      </c>
      <c r="B203" s="1" t="s">
        <v>339</v>
      </c>
      <c r="C203" s="1" t="s">
        <v>34</v>
      </c>
      <c r="D203" s="1" t="s">
        <v>35</v>
      </c>
      <c r="E203" s="1">
        <v>0.86505583200000002</v>
      </c>
      <c r="F203" s="1">
        <v>6.5950097999999999E-2</v>
      </c>
      <c r="G203" s="1">
        <f t="shared" si="9"/>
        <v>0.43576801289999995</v>
      </c>
      <c r="H203">
        <f t="shared" si="10"/>
        <v>0.56423198710000011</v>
      </c>
      <c r="I203">
        <f t="shared" si="11"/>
        <v>56.423198710000008</v>
      </c>
    </row>
    <row r="204" spans="1:9" x14ac:dyDescent="0.2">
      <c r="A204" s="1" t="s">
        <v>340</v>
      </c>
      <c r="B204" s="1" t="s">
        <v>341</v>
      </c>
      <c r="C204" s="1" t="s">
        <v>14</v>
      </c>
      <c r="D204" s="1" t="s">
        <v>15</v>
      </c>
      <c r="E204" s="1">
        <v>0.79270151200000005</v>
      </c>
      <c r="F204" s="1">
        <v>9.3921780999999996E-2</v>
      </c>
      <c r="G204" s="1">
        <f t="shared" si="9"/>
        <v>0.64599350560999991</v>
      </c>
      <c r="H204">
        <f t="shared" si="10"/>
        <v>0.35400649439000009</v>
      </c>
      <c r="I204">
        <f t="shared" si="11"/>
        <v>35.400649439000006</v>
      </c>
    </row>
    <row r="205" spans="1:9" x14ac:dyDescent="0.2">
      <c r="A205" s="1" t="s">
        <v>342</v>
      </c>
      <c r="B205" s="1" t="s">
        <v>343</v>
      </c>
      <c r="C205" s="1" t="s">
        <v>34</v>
      </c>
      <c r="D205" s="1" t="s">
        <v>35</v>
      </c>
      <c r="E205" s="1">
        <v>0.84301756900000002</v>
      </c>
      <c r="F205" s="1">
        <v>7.1499727999999999E-2</v>
      </c>
      <c r="G205" s="1">
        <f t="shared" si="9"/>
        <v>0.49038462183999992</v>
      </c>
      <c r="H205">
        <f t="shared" si="10"/>
        <v>0.50961537816000013</v>
      </c>
      <c r="I205">
        <f t="shared" si="11"/>
        <v>50.961537816000011</v>
      </c>
    </row>
    <row r="206" spans="1:9" x14ac:dyDescent="0.2">
      <c r="A206" s="1" t="s">
        <v>344</v>
      </c>
      <c r="B206" s="1" t="s">
        <v>345</v>
      </c>
      <c r="C206" s="1" t="s">
        <v>46</v>
      </c>
      <c r="D206" s="1" t="s">
        <v>47</v>
      </c>
      <c r="E206" s="1">
        <v>0.83980126899999996</v>
      </c>
      <c r="F206" s="1">
        <v>5.8737639000000001E-2</v>
      </c>
      <c r="G206" s="1">
        <f t="shared" si="9"/>
        <v>0.45533218371000006</v>
      </c>
      <c r="H206">
        <f t="shared" si="10"/>
        <v>0.54466781628999994</v>
      </c>
      <c r="I206">
        <f t="shared" si="11"/>
        <v>54.466781628999996</v>
      </c>
    </row>
    <row r="207" spans="1:9" x14ac:dyDescent="0.2">
      <c r="A207" s="1" t="s">
        <v>346</v>
      </c>
      <c r="B207" s="1" t="s">
        <v>347</v>
      </c>
      <c r="C207" s="1" t="s">
        <v>34</v>
      </c>
      <c r="D207" s="1" t="s">
        <v>35</v>
      </c>
      <c r="E207" s="1">
        <v>0.85798403099999998</v>
      </c>
      <c r="F207" s="1">
        <v>6.6929411999999994E-2</v>
      </c>
      <c r="G207" s="1">
        <f t="shared" si="9"/>
        <v>0.45075306396000003</v>
      </c>
      <c r="H207">
        <f t="shared" si="10"/>
        <v>0.54924693603999997</v>
      </c>
      <c r="I207">
        <f t="shared" si="11"/>
        <v>54.924693603999998</v>
      </c>
    </row>
    <row r="208" spans="1:9" x14ac:dyDescent="0.2">
      <c r="A208" s="1" t="s">
        <v>348</v>
      </c>
      <c r="B208" s="1" t="s">
        <v>349</v>
      </c>
      <c r="C208" s="1" t="s">
        <v>46</v>
      </c>
      <c r="D208" s="1" t="s">
        <v>47</v>
      </c>
      <c r="E208" s="1">
        <v>0.85982282899999996</v>
      </c>
      <c r="F208" s="1">
        <v>6.0011888999999999E-2</v>
      </c>
      <c r="G208" s="1">
        <f t="shared" si="9"/>
        <v>0.42573533541000008</v>
      </c>
      <c r="H208">
        <f t="shared" si="10"/>
        <v>0.57426466458999992</v>
      </c>
      <c r="I208">
        <f t="shared" si="11"/>
        <v>57.42646645899999</v>
      </c>
    </row>
    <row r="209" spans="1:9" x14ac:dyDescent="0.2">
      <c r="A209" s="1" t="s">
        <v>350</v>
      </c>
      <c r="B209" s="1" t="s">
        <v>351</v>
      </c>
      <c r="C209" s="1" t="s">
        <v>6</v>
      </c>
      <c r="D209" s="1" t="s">
        <v>7</v>
      </c>
      <c r="E209" s="1">
        <v>0.86621422400000003</v>
      </c>
      <c r="F209" s="1">
        <v>4.9713051000000001E-2</v>
      </c>
      <c r="G209" s="1">
        <f t="shared" si="9"/>
        <v>0.38235047534999994</v>
      </c>
      <c r="H209">
        <f t="shared" si="10"/>
        <v>0.61764952465</v>
      </c>
      <c r="I209">
        <f t="shared" si="11"/>
        <v>61.764952465</v>
      </c>
    </row>
    <row r="210" spans="1:9" x14ac:dyDescent="0.2">
      <c r="A210" s="1" t="s">
        <v>352</v>
      </c>
      <c r="B210" s="1" t="s">
        <v>353</v>
      </c>
      <c r="C210" s="1" t="s">
        <v>18</v>
      </c>
      <c r="D210" s="1" t="s">
        <v>19</v>
      </c>
      <c r="E210" s="1">
        <v>0.80140375900000005</v>
      </c>
      <c r="F210" s="1">
        <v>8.3931367000000007E-2</v>
      </c>
      <c r="G210" s="1">
        <f t="shared" si="9"/>
        <v>0.59970411826999992</v>
      </c>
      <c r="H210">
        <f t="shared" si="10"/>
        <v>0.40029588173000008</v>
      </c>
      <c r="I210">
        <f t="shared" si="11"/>
        <v>40.029588173000008</v>
      </c>
    </row>
    <row r="211" spans="1:9" x14ac:dyDescent="0.2">
      <c r="A211" s="1" t="s">
        <v>354</v>
      </c>
      <c r="B211" s="1" t="s">
        <v>355</v>
      </c>
      <c r="C211" s="1" t="s">
        <v>34</v>
      </c>
      <c r="D211" s="1" t="s">
        <v>35</v>
      </c>
      <c r="E211" s="1">
        <v>0.85521860599999999</v>
      </c>
      <c r="F211" s="1">
        <v>6.6185569E-2</v>
      </c>
      <c r="G211" s="1">
        <f t="shared" si="9"/>
        <v>0.45304099565</v>
      </c>
      <c r="H211">
        <f t="shared" si="10"/>
        <v>0.54695900435</v>
      </c>
      <c r="I211">
        <f t="shared" si="11"/>
        <v>54.695900434999999</v>
      </c>
    </row>
    <row r="212" spans="1:9" x14ac:dyDescent="0.2">
      <c r="A212" s="1" t="s">
        <v>356</v>
      </c>
      <c r="B212" s="1" t="s">
        <v>357</v>
      </c>
      <c r="C212" s="1" t="s">
        <v>6</v>
      </c>
      <c r="D212" s="1" t="s">
        <v>7</v>
      </c>
      <c r="E212" s="1">
        <v>0.879164116</v>
      </c>
      <c r="F212" s="1">
        <v>4.4339521999999999E-2</v>
      </c>
      <c r="G212" s="1">
        <f t="shared" si="9"/>
        <v>0.34356056985999994</v>
      </c>
      <c r="H212">
        <f t="shared" si="10"/>
        <v>0.65643943014000006</v>
      </c>
      <c r="I212">
        <f t="shared" si="11"/>
        <v>65.643943014000001</v>
      </c>
    </row>
    <row r="213" spans="1:9" x14ac:dyDescent="0.2">
      <c r="A213" s="1" t="s">
        <v>358</v>
      </c>
      <c r="B213" s="1" t="s">
        <v>359</v>
      </c>
      <c r="C213" s="1" t="s">
        <v>54</v>
      </c>
      <c r="D213" s="1" t="s">
        <v>55</v>
      </c>
      <c r="E213" s="1">
        <v>0.81492261399999999</v>
      </c>
      <c r="F213" s="1">
        <v>6.8024936999999994E-2</v>
      </c>
      <c r="G213" s="1">
        <f t="shared" si="9"/>
        <v>0.52656905877000004</v>
      </c>
      <c r="H213">
        <f t="shared" si="10"/>
        <v>0.47343094122999996</v>
      </c>
      <c r="I213">
        <f t="shared" si="11"/>
        <v>47.343094122999993</v>
      </c>
    </row>
    <row r="214" spans="1:9" x14ac:dyDescent="0.2">
      <c r="A214" s="1" t="s">
        <v>360</v>
      </c>
      <c r="B214" s="1" t="s">
        <v>361</v>
      </c>
      <c r="C214" s="1" t="s">
        <v>54</v>
      </c>
      <c r="D214" s="1" t="s">
        <v>55</v>
      </c>
      <c r="E214" s="1">
        <v>0.81586663100000001</v>
      </c>
      <c r="F214" s="1">
        <v>7.1848138000000006E-2</v>
      </c>
      <c r="G214" s="1">
        <f t="shared" si="9"/>
        <v>0.53710265737999996</v>
      </c>
      <c r="H214">
        <f t="shared" si="10"/>
        <v>0.46289734262000004</v>
      </c>
      <c r="I214">
        <f t="shared" si="11"/>
        <v>46.289734262000003</v>
      </c>
    </row>
    <row r="215" spans="1:9" x14ac:dyDescent="0.2">
      <c r="A215" s="1" t="s">
        <v>1232</v>
      </c>
      <c r="B215" s="1" t="s">
        <v>1233</v>
      </c>
      <c r="C215" s="1" t="s">
        <v>1176</v>
      </c>
      <c r="D215" s="1" t="s">
        <v>1177</v>
      </c>
      <c r="E215" s="1">
        <v>0.75216901199999997</v>
      </c>
      <c r="F215" s="1">
        <v>0.113129893</v>
      </c>
      <c r="G215" s="1">
        <f t="shared" si="9"/>
        <v>0.77497782064999998</v>
      </c>
      <c r="H215">
        <f t="shared" si="10"/>
        <v>0.22502217935000002</v>
      </c>
      <c r="I215">
        <f t="shared" si="11"/>
        <v>22.502217935000001</v>
      </c>
    </row>
    <row r="216" spans="1:9" x14ac:dyDescent="0.2">
      <c r="A216" s="1" t="s">
        <v>362</v>
      </c>
      <c r="B216" s="1" t="s">
        <v>363</v>
      </c>
      <c r="C216" s="1" t="s">
        <v>6</v>
      </c>
      <c r="D216" s="1" t="s">
        <v>7</v>
      </c>
      <c r="E216" s="1">
        <v>0.81920675200000004</v>
      </c>
      <c r="F216" s="1">
        <v>6.9356029999999999E-2</v>
      </c>
      <c r="G216" s="1">
        <f t="shared" si="9"/>
        <v>0.52359127173999997</v>
      </c>
      <c r="H216">
        <f t="shared" si="10"/>
        <v>0.47640872826000003</v>
      </c>
      <c r="I216">
        <f t="shared" si="11"/>
        <v>47.640872826000006</v>
      </c>
    </row>
    <row r="217" spans="1:9" x14ac:dyDescent="0.2">
      <c r="A217" s="1" t="s">
        <v>364</v>
      </c>
      <c r="B217" s="1" t="s">
        <v>365</v>
      </c>
      <c r="C217" s="1" t="s">
        <v>6</v>
      </c>
      <c r="D217" s="1" t="s">
        <v>7</v>
      </c>
      <c r="E217" s="1">
        <v>0.85079393599999997</v>
      </c>
      <c r="F217" s="1">
        <v>5.4153317999999999E-2</v>
      </c>
      <c r="G217" s="1">
        <f t="shared" si="9"/>
        <v>0.42233220558000001</v>
      </c>
      <c r="H217">
        <f t="shared" si="10"/>
        <v>0.57766779441999994</v>
      </c>
      <c r="I217">
        <f t="shared" si="11"/>
        <v>57.766779441999994</v>
      </c>
    </row>
    <row r="218" spans="1:9" x14ac:dyDescent="0.2">
      <c r="A218" s="1" t="s">
        <v>366</v>
      </c>
      <c r="B218" s="1" t="s">
        <v>367</v>
      </c>
      <c r="C218" s="1" t="s">
        <v>6</v>
      </c>
      <c r="D218" s="1" t="s">
        <v>7</v>
      </c>
      <c r="E218" s="1">
        <v>0.82803415700000005</v>
      </c>
      <c r="F218" s="1">
        <v>6.8889293000000004E-2</v>
      </c>
      <c r="G218" s="1">
        <f t="shared" si="9"/>
        <v>0.50728167504999988</v>
      </c>
      <c r="H218">
        <f t="shared" si="10"/>
        <v>0.49271832495000012</v>
      </c>
      <c r="I218">
        <f t="shared" si="11"/>
        <v>49.271832495000012</v>
      </c>
    </row>
    <row r="219" spans="1:9" x14ac:dyDescent="0.2">
      <c r="A219" s="1" t="s">
        <v>368</v>
      </c>
      <c r="B219" s="1" t="s">
        <v>369</v>
      </c>
      <c r="C219" s="1" t="s">
        <v>34</v>
      </c>
      <c r="D219" s="1" t="s">
        <v>35</v>
      </c>
      <c r="E219" s="1">
        <v>0.87331115299999995</v>
      </c>
      <c r="F219" s="1">
        <v>5.7272460999999997E-2</v>
      </c>
      <c r="G219" s="1">
        <f t="shared" si="9"/>
        <v>0.39439096433000009</v>
      </c>
      <c r="H219">
        <f t="shared" si="10"/>
        <v>0.60560903566999991</v>
      </c>
      <c r="I219">
        <f t="shared" si="11"/>
        <v>60.56090356699999</v>
      </c>
    </row>
    <row r="220" spans="1:9" x14ac:dyDescent="0.2">
      <c r="A220" s="1" t="s">
        <v>370</v>
      </c>
      <c r="B220" s="1" t="s">
        <v>371</v>
      </c>
      <c r="C220" s="1" t="s">
        <v>54</v>
      </c>
      <c r="D220" s="1" t="s">
        <v>55</v>
      </c>
      <c r="E220" s="1">
        <v>0.8516224</v>
      </c>
      <c r="F220" s="1">
        <v>5.4853224999999999E-2</v>
      </c>
      <c r="G220" s="1">
        <f t="shared" si="9"/>
        <v>0.42315909124999995</v>
      </c>
      <c r="H220">
        <f t="shared" si="10"/>
        <v>0.57684090875000005</v>
      </c>
      <c r="I220">
        <f t="shared" si="11"/>
        <v>57.684090875000003</v>
      </c>
    </row>
    <row r="221" spans="1:9" x14ac:dyDescent="0.2">
      <c r="A221" s="1" t="s">
        <v>372</v>
      </c>
      <c r="B221" s="1" t="s">
        <v>373</v>
      </c>
      <c r="C221" s="1" t="s">
        <v>34</v>
      </c>
      <c r="D221" s="1" t="s">
        <v>35</v>
      </c>
      <c r="E221" s="1">
        <v>0.87193067300000004</v>
      </c>
      <c r="F221" s="1">
        <v>5.6609607999999999E-2</v>
      </c>
      <c r="G221" s="1">
        <f t="shared" si="9"/>
        <v>0.39460892671999992</v>
      </c>
      <c r="H221">
        <f t="shared" si="10"/>
        <v>0.60539107328000008</v>
      </c>
      <c r="I221">
        <f t="shared" si="11"/>
        <v>60.539107328000007</v>
      </c>
    </row>
    <row r="222" spans="1:9" x14ac:dyDescent="0.2">
      <c r="A222" s="1" t="s">
        <v>374</v>
      </c>
      <c r="B222" s="1" t="s">
        <v>375</v>
      </c>
      <c r="C222" s="1" t="s">
        <v>6</v>
      </c>
      <c r="D222" s="1" t="s">
        <v>7</v>
      </c>
      <c r="E222" s="1">
        <v>0.77635490500000004</v>
      </c>
      <c r="F222" s="1">
        <v>9.8308886999999998E-2</v>
      </c>
      <c r="G222" s="1">
        <f t="shared" si="9"/>
        <v>0.68736293138999993</v>
      </c>
      <c r="H222">
        <f t="shared" si="10"/>
        <v>0.31263706861000007</v>
      </c>
      <c r="I222">
        <f t="shared" si="11"/>
        <v>31.263706861000006</v>
      </c>
    </row>
    <row r="223" spans="1:9" x14ac:dyDescent="0.2">
      <c r="A223" s="1" t="s">
        <v>376</v>
      </c>
      <c r="B223" s="1" t="s">
        <v>377</v>
      </c>
      <c r="C223" s="1" t="s">
        <v>54</v>
      </c>
      <c r="D223" s="1" t="s">
        <v>55</v>
      </c>
      <c r="E223" s="1">
        <v>0.81044124100000003</v>
      </c>
      <c r="F223" s="1">
        <v>7.5775447999999995E-2</v>
      </c>
      <c r="G223" s="1">
        <f t="shared" si="9"/>
        <v>0.55866688527999997</v>
      </c>
      <c r="H223">
        <f t="shared" si="10"/>
        <v>0.44133311472000003</v>
      </c>
      <c r="I223">
        <f t="shared" si="11"/>
        <v>44.133311472000003</v>
      </c>
    </row>
    <row r="224" spans="1:9" x14ac:dyDescent="0.2">
      <c r="A224" s="1" t="s">
        <v>378</v>
      </c>
      <c r="B224" s="1" t="s">
        <v>379</v>
      </c>
      <c r="C224" s="1" t="s">
        <v>54</v>
      </c>
      <c r="D224" s="1" t="s">
        <v>55</v>
      </c>
      <c r="E224" s="1">
        <v>0.82931434900000001</v>
      </c>
      <c r="F224" s="1">
        <v>6.3779219999999998E-2</v>
      </c>
      <c r="G224" s="1">
        <f t="shared" si="9"/>
        <v>0.48893202108</v>
      </c>
      <c r="H224">
        <f t="shared" si="10"/>
        <v>0.51106797892</v>
      </c>
      <c r="I224">
        <f t="shared" si="11"/>
        <v>51.106797892000003</v>
      </c>
    </row>
    <row r="225" spans="1:9" x14ac:dyDescent="0.2">
      <c r="A225" s="1" t="s">
        <v>380</v>
      </c>
      <c r="B225" s="1" t="s">
        <v>381</v>
      </c>
      <c r="C225" s="1" t="s">
        <v>14</v>
      </c>
      <c r="D225" s="1" t="s">
        <v>15</v>
      </c>
      <c r="E225" s="1">
        <v>0.79805974499999999</v>
      </c>
      <c r="F225" s="1">
        <v>8.7124516999999999E-2</v>
      </c>
      <c r="G225" s="1">
        <f t="shared" si="9"/>
        <v>0.61544434728999997</v>
      </c>
      <c r="H225">
        <f t="shared" si="10"/>
        <v>0.38455565271000003</v>
      </c>
      <c r="I225">
        <f t="shared" si="11"/>
        <v>38.455565271000005</v>
      </c>
    </row>
    <row r="226" spans="1:9" x14ac:dyDescent="0.2">
      <c r="A226" s="1" t="s">
        <v>382</v>
      </c>
      <c r="B226" s="1" t="s">
        <v>383</v>
      </c>
      <c r="C226" s="1" t="s">
        <v>18</v>
      </c>
      <c r="D226" s="1" t="s">
        <v>19</v>
      </c>
      <c r="E226" s="1">
        <v>0.79475161100000002</v>
      </c>
      <c r="F226" s="1">
        <v>8.3696782999999997E-2</v>
      </c>
      <c r="G226" s="1">
        <f t="shared" si="9"/>
        <v>0.61013609562999993</v>
      </c>
      <c r="H226">
        <f t="shared" si="10"/>
        <v>0.38986390437000007</v>
      </c>
      <c r="I226">
        <f t="shared" si="11"/>
        <v>38.986390437000004</v>
      </c>
    </row>
    <row r="227" spans="1:9" x14ac:dyDescent="0.2">
      <c r="A227" s="1" t="s">
        <v>384</v>
      </c>
      <c r="B227" s="1" t="s">
        <v>385</v>
      </c>
      <c r="C227" s="1" t="s">
        <v>98</v>
      </c>
      <c r="D227" s="1" t="s">
        <v>99</v>
      </c>
      <c r="E227" s="1">
        <v>0.79045723599999995</v>
      </c>
      <c r="F227" s="1">
        <v>9.6233924999999998E-2</v>
      </c>
      <c r="G227" s="1">
        <f t="shared" si="9"/>
        <v>0.65709338577000009</v>
      </c>
      <c r="H227">
        <f t="shared" si="10"/>
        <v>0.34290661422999991</v>
      </c>
      <c r="I227">
        <f t="shared" si="11"/>
        <v>34.290661422999989</v>
      </c>
    </row>
    <row r="228" spans="1:9" x14ac:dyDescent="0.2">
      <c r="A228" s="1" t="s">
        <v>386</v>
      </c>
      <c r="B228" s="1" t="s">
        <v>387</v>
      </c>
      <c r="C228" s="1" t="s">
        <v>18</v>
      </c>
      <c r="D228" s="1" t="s">
        <v>19</v>
      </c>
      <c r="E228" s="1">
        <v>0.81106241499999998</v>
      </c>
      <c r="F228" s="1">
        <v>7.9589636000000005E-2</v>
      </c>
      <c r="G228" s="1">
        <f t="shared" si="9"/>
        <v>0.56971428891999998</v>
      </c>
      <c r="H228">
        <f t="shared" si="10"/>
        <v>0.43028571108000002</v>
      </c>
      <c r="I228">
        <f t="shared" si="11"/>
        <v>43.028571108000001</v>
      </c>
    </row>
    <row r="229" spans="1:9" x14ac:dyDescent="0.2">
      <c r="A229" s="1" t="s">
        <v>388</v>
      </c>
      <c r="B229" s="1" t="s">
        <v>389</v>
      </c>
      <c r="C229" s="1" t="s">
        <v>6</v>
      </c>
      <c r="D229" s="1" t="s">
        <v>7</v>
      </c>
      <c r="E229" s="1">
        <v>0.82426475600000004</v>
      </c>
      <c r="F229" s="1">
        <v>7.1574481999999995E-2</v>
      </c>
      <c r="G229" s="1">
        <f t="shared" si="9"/>
        <v>0.52212631785999986</v>
      </c>
      <c r="H229">
        <f t="shared" si="10"/>
        <v>0.47787368214000014</v>
      </c>
      <c r="I229">
        <f t="shared" si="11"/>
        <v>47.787368214000011</v>
      </c>
    </row>
    <row r="230" spans="1:9" x14ac:dyDescent="0.2">
      <c r="A230" s="1" t="s">
        <v>1234</v>
      </c>
      <c r="B230" s="1" t="s">
        <v>1235</v>
      </c>
      <c r="C230" s="1" t="s">
        <v>1176</v>
      </c>
      <c r="D230" s="1" t="s">
        <v>1177</v>
      </c>
      <c r="E230" s="1">
        <v>0.73439333900000003</v>
      </c>
      <c r="F230" s="1">
        <v>0.13832572600000001</v>
      </c>
      <c r="G230" s="1">
        <f t="shared" si="9"/>
        <v>0.8847117418999999</v>
      </c>
      <c r="H230">
        <f t="shared" si="10"/>
        <v>0.1152882581000001</v>
      </c>
      <c r="I230">
        <f t="shared" si="11"/>
        <v>11.52882581000001</v>
      </c>
    </row>
    <row r="231" spans="1:9" x14ac:dyDescent="0.2">
      <c r="A231" s="1" t="s">
        <v>1236</v>
      </c>
      <c r="B231" s="1" t="s">
        <v>1237</v>
      </c>
      <c r="C231" s="1" t="s">
        <v>1176</v>
      </c>
      <c r="D231" s="1" t="s">
        <v>1177</v>
      </c>
      <c r="E231" s="1">
        <v>0.77201730599999996</v>
      </c>
      <c r="F231" s="1">
        <v>0.105512576</v>
      </c>
      <c r="G231" s="1">
        <f t="shared" si="9"/>
        <v>0.71748579184000005</v>
      </c>
      <c r="H231">
        <f t="shared" si="10"/>
        <v>0.28251420815999995</v>
      </c>
      <c r="I231">
        <f t="shared" si="11"/>
        <v>28.251420815999996</v>
      </c>
    </row>
    <row r="232" spans="1:9" x14ac:dyDescent="0.2">
      <c r="A232" s="1" t="s">
        <v>1238</v>
      </c>
      <c r="B232" s="1" t="s">
        <v>1239</v>
      </c>
      <c r="C232" s="1" t="s">
        <v>1176</v>
      </c>
      <c r="D232" s="1" t="s">
        <v>1177</v>
      </c>
      <c r="E232" s="1">
        <v>0.70562427100000003</v>
      </c>
      <c r="F232" s="1">
        <v>0.15744224000000001</v>
      </c>
      <c r="G232" s="1">
        <f t="shared" si="9"/>
        <v>0.99364312552</v>
      </c>
      <c r="H232">
        <f t="shared" si="10"/>
        <v>6.3568744799999966E-3</v>
      </c>
      <c r="I232">
        <f t="shared" si="11"/>
        <v>0.63568744799999966</v>
      </c>
    </row>
    <row r="233" spans="1:9" x14ac:dyDescent="0.2">
      <c r="A233" s="1" t="s">
        <v>1240</v>
      </c>
      <c r="B233" s="1" t="s">
        <v>1241</v>
      </c>
      <c r="C233" s="1" t="s">
        <v>1176</v>
      </c>
      <c r="D233" s="1" t="s">
        <v>1177</v>
      </c>
      <c r="E233" s="1">
        <v>0.75061237000000003</v>
      </c>
      <c r="F233" s="1">
        <v>0.11583632200000001</v>
      </c>
      <c r="G233" s="1">
        <f t="shared" si="9"/>
        <v>0.78617235913999994</v>
      </c>
      <c r="H233">
        <f t="shared" si="10"/>
        <v>0.21382764086000006</v>
      </c>
      <c r="I233">
        <f t="shared" si="11"/>
        <v>21.382764086000005</v>
      </c>
    </row>
    <row r="234" spans="1:9" x14ac:dyDescent="0.2">
      <c r="A234" s="1" t="s">
        <v>1242</v>
      </c>
      <c r="B234" s="1" t="s">
        <v>1243</v>
      </c>
      <c r="C234" s="1" t="s">
        <v>1176</v>
      </c>
      <c r="D234" s="1" t="s">
        <v>1177</v>
      </c>
      <c r="E234" s="1">
        <v>0.73037876000000002</v>
      </c>
      <c r="F234" s="1">
        <v>0.13885800400000001</v>
      </c>
      <c r="G234" s="1">
        <f t="shared" si="9"/>
        <v>0.89314355588000005</v>
      </c>
      <c r="H234">
        <f t="shared" si="10"/>
        <v>0.10685644411999995</v>
      </c>
      <c r="I234">
        <f t="shared" si="11"/>
        <v>10.685644411999995</v>
      </c>
    </row>
    <row r="235" spans="1:9" x14ac:dyDescent="0.2">
      <c r="A235" s="1" t="s">
        <v>1244</v>
      </c>
      <c r="B235" s="1" t="s">
        <v>1245</v>
      </c>
      <c r="C235" s="1" t="s">
        <v>1176</v>
      </c>
      <c r="D235" s="1" t="s">
        <v>1177</v>
      </c>
      <c r="E235" s="1">
        <v>0.75289664899999997</v>
      </c>
      <c r="F235" s="1">
        <v>0.118903916</v>
      </c>
      <c r="G235" s="1">
        <f t="shared" si="9"/>
        <v>0.7920590434</v>
      </c>
      <c r="H235">
        <f t="shared" si="10"/>
        <v>0.2079409566</v>
      </c>
      <c r="I235">
        <f t="shared" si="11"/>
        <v>20.79409566</v>
      </c>
    </row>
    <row r="236" spans="1:9" x14ac:dyDescent="0.2">
      <c r="A236" s="1" t="s">
        <v>390</v>
      </c>
      <c r="B236" s="1" t="s">
        <v>391</v>
      </c>
      <c r="C236" s="1" t="s">
        <v>54</v>
      </c>
      <c r="D236" s="1" t="s">
        <v>55</v>
      </c>
      <c r="E236" s="1">
        <v>0.81913378199999998</v>
      </c>
      <c r="F236" s="1">
        <v>7.0300011999999995E-2</v>
      </c>
      <c r="G236" s="1">
        <f t="shared" si="9"/>
        <v>0.52670628427999999</v>
      </c>
      <c r="H236">
        <f t="shared" si="10"/>
        <v>0.47329371572000001</v>
      </c>
      <c r="I236">
        <f t="shared" si="11"/>
        <v>47.329371571999999</v>
      </c>
    </row>
    <row r="237" spans="1:9" x14ac:dyDescent="0.2">
      <c r="A237" s="1" t="s">
        <v>1246</v>
      </c>
      <c r="B237" s="1" t="s">
        <v>1247</v>
      </c>
      <c r="C237" s="1" t="s">
        <v>1176</v>
      </c>
      <c r="D237" s="1" t="s">
        <v>1177</v>
      </c>
      <c r="E237" s="1">
        <v>0.70303900200000002</v>
      </c>
      <c r="F237" s="1">
        <v>0.14064017600000001</v>
      </c>
      <c r="G237" s="1">
        <f t="shared" si="9"/>
        <v>0.94472383455999998</v>
      </c>
      <c r="H237">
        <f t="shared" si="10"/>
        <v>5.5276165440000025E-2</v>
      </c>
      <c r="I237">
        <f t="shared" si="11"/>
        <v>5.5276165440000025</v>
      </c>
    </row>
    <row r="238" spans="1:9" x14ac:dyDescent="0.2">
      <c r="A238" s="1" t="s">
        <v>392</v>
      </c>
      <c r="B238" s="1" t="s">
        <v>393</v>
      </c>
      <c r="C238" s="1" t="s">
        <v>54</v>
      </c>
      <c r="D238" s="1" t="s">
        <v>55</v>
      </c>
      <c r="E238" s="1">
        <v>0.82372546499999999</v>
      </c>
      <c r="F238" s="1">
        <v>7.1640253000000001E-2</v>
      </c>
      <c r="G238" s="1">
        <f t="shared" si="9"/>
        <v>0.52324082081000001</v>
      </c>
      <c r="H238">
        <f t="shared" si="10"/>
        <v>0.47675917918999999</v>
      </c>
      <c r="I238">
        <f t="shared" si="11"/>
        <v>47.675917919</v>
      </c>
    </row>
    <row r="239" spans="1:9" x14ac:dyDescent="0.2">
      <c r="A239" s="1" t="s">
        <v>394</v>
      </c>
      <c r="B239" s="1" t="s">
        <v>395</v>
      </c>
      <c r="C239" s="1" t="s">
        <v>6</v>
      </c>
      <c r="D239" s="1" t="s">
        <v>7</v>
      </c>
      <c r="E239" s="1">
        <v>0.85869610299999999</v>
      </c>
      <c r="F239" s="1">
        <v>5.0798093000000002E-2</v>
      </c>
      <c r="G239" s="1">
        <f t="shared" si="9"/>
        <v>0.39842050176999999</v>
      </c>
      <c r="H239">
        <f t="shared" si="10"/>
        <v>0.60157949823000001</v>
      </c>
      <c r="I239">
        <f t="shared" si="11"/>
        <v>60.157949823000003</v>
      </c>
    </row>
    <row r="240" spans="1:9" x14ac:dyDescent="0.2">
      <c r="A240" s="1" t="s">
        <v>396</v>
      </c>
      <c r="B240" s="1" t="s">
        <v>397</v>
      </c>
      <c r="C240" s="1" t="s">
        <v>38</v>
      </c>
      <c r="D240" s="1" t="s">
        <v>39</v>
      </c>
      <c r="E240" s="1">
        <v>0.83819618399999996</v>
      </c>
      <c r="F240" s="1">
        <v>6.3286364999999997E-2</v>
      </c>
      <c r="G240" s="1">
        <f t="shared" si="9"/>
        <v>0.47244818792999999</v>
      </c>
      <c r="H240">
        <f t="shared" si="10"/>
        <v>0.52755181207000001</v>
      </c>
      <c r="I240">
        <f t="shared" si="11"/>
        <v>52.755181207</v>
      </c>
    </row>
    <row r="241" spans="1:9" x14ac:dyDescent="0.2">
      <c r="A241" s="1" t="s">
        <v>1248</v>
      </c>
      <c r="B241" s="1" t="s">
        <v>1249</v>
      </c>
      <c r="C241" s="1" t="s">
        <v>1176</v>
      </c>
      <c r="D241" s="1" t="s">
        <v>1177</v>
      </c>
      <c r="E241" s="1">
        <v>0.81028667799999998</v>
      </c>
      <c r="F241" s="1">
        <v>6.8772429999999996E-2</v>
      </c>
      <c r="G241" s="1">
        <f t="shared" si="9"/>
        <v>0.53672698405999997</v>
      </c>
      <c r="H241">
        <f t="shared" si="10"/>
        <v>0.46327301594000003</v>
      </c>
      <c r="I241">
        <f t="shared" si="11"/>
        <v>46.327301594000005</v>
      </c>
    </row>
    <row r="242" spans="1:9" x14ac:dyDescent="0.2">
      <c r="A242" s="1" t="s">
        <v>398</v>
      </c>
      <c r="B242" s="1" t="s">
        <v>399</v>
      </c>
      <c r="C242" s="1" t="s">
        <v>14</v>
      </c>
      <c r="D242" s="1" t="s">
        <v>15</v>
      </c>
      <c r="E242" s="1">
        <v>0.81727504600000001</v>
      </c>
      <c r="F242" s="1">
        <v>8.7914504000000004E-2</v>
      </c>
      <c r="G242" s="1">
        <f t="shared" si="9"/>
        <v>0.58566690039999991</v>
      </c>
      <c r="H242">
        <f t="shared" si="10"/>
        <v>0.41433309960000009</v>
      </c>
      <c r="I242">
        <f t="shared" si="11"/>
        <v>41.43330996000001</v>
      </c>
    </row>
    <row r="243" spans="1:9" x14ac:dyDescent="0.2">
      <c r="A243" s="1" t="s">
        <v>400</v>
      </c>
      <c r="B243" s="1" t="s">
        <v>401</v>
      </c>
      <c r="C243" s="1" t="s">
        <v>6</v>
      </c>
      <c r="D243" s="1" t="s">
        <v>7</v>
      </c>
      <c r="E243" s="1">
        <v>0.79885737999999995</v>
      </c>
      <c r="F243" s="1">
        <v>7.9079672000000004E-2</v>
      </c>
      <c r="G243" s="1">
        <f t="shared" si="9"/>
        <v>0.58860216184000014</v>
      </c>
      <c r="H243">
        <f t="shared" si="10"/>
        <v>0.41139783815999986</v>
      </c>
      <c r="I243">
        <f t="shared" si="11"/>
        <v>41.139783815999984</v>
      </c>
    </row>
    <row r="244" spans="1:9" x14ac:dyDescent="0.2">
      <c r="A244" s="1" t="s">
        <v>1142</v>
      </c>
      <c r="B244" s="1" t="s">
        <v>1143</v>
      </c>
      <c r="C244" s="1" t="s">
        <v>1110</v>
      </c>
      <c r="D244" s="1" t="s">
        <v>1111</v>
      </c>
      <c r="E244" s="1">
        <v>0.79243538599999996</v>
      </c>
      <c r="F244" s="1">
        <v>9.9653037E-2</v>
      </c>
      <c r="G244" s="1">
        <f t="shared" si="9"/>
        <v>0.66460867881000008</v>
      </c>
      <c r="H244">
        <f t="shared" si="10"/>
        <v>0.33539132118999992</v>
      </c>
      <c r="I244">
        <f t="shared" si="11"/>
        <v>33.539132118999994</v>
      </c>
    </row>
    <row r="245" spans="1:9" x14ac:dyDescent="0.2">
      <c r="A245" s="1" t="s">
        <v>402</v>
      </c>
      <c r="B245" s="1" t="s">
        <v>403</v>
      </c>
      <c r="C245" s="1" t="s">
        <v>18</v>
      </c>
      <c r="D245" s="1" t="s">
        <v>19</v>
      </c>
      <c r="E245" s="1">
        <v>0.81343759199999999</v>
      </c>
      <c r="F245" s="1">
        <v>7.4137389999999997E-2</v>
      </c>
      <c r="G245" s="1">
        <f t="shared" si="9"/>
        <v>0.54844037173999993</v>
      </c>
      <c r="H245">
        <f t="shared" si="10"/>
        <v>0.45155962826000007</v>
      </c>
      <c r="I245">
        <f t="shared" si="11"/>
        <v>45.155962826000007</v>
      </c>
    </row>
    <row r="246" spans="1:9" x14ac:dyDescent="0.2">
      <c r="A246" s="1" t="s">
        <v>404</v>
      </c>
      <c r="B246" s="1" t="s">
        <v>405</v>
      </c>
      <c r="C246" s="1" t="s">
        <v>6</v>
      </c>
      <c r="D246" s="1" t="s">
        <v>7</v>
      </c>
      <c r="E246" s="1">
        <v>0.83621141300000001</v>
      </c>
      <c r="F246" s="1">
        <v>6.9354536999999994E-2</v>
      </c>
      <c r="G246" s="1">
        <f t="shared" si="9"/>
        <v>0.49501870844999996</v>
      </c>
      <c r="H246">
        <f t="shared" si="10"/>
        <v>0.50498129155000004</v>
      </c>
      <c r="I246">
        <f t="shared" si="11"/>
        <v>50.498129155000001</v>
      </c>
    </row>
    <row r="247" spans="1:9" x14ac:dyDescent="0.2">
      <c r="A247" s="1" t="s">
        <v>406</v>
      </c>
      <c r="B247" s="1" t="s">
        <v>407</v>
      </c>
      <c r="C247" s="1" t="s">
        <v>38</v>
      </c>
      <c r="D247" s="1" t="s">
        <v>39</v>
      </c>
      <c r="E247" s="1">
        <v>0.78716967800000004</v>
      </c>
      <c r="F247" s="1">
        <v>9.7139613E-2</v>
      </c>
      <c r="G247" s="1">
        <f t="shared" si="9"/>
        <v>0.66548751416999985</v>
      </c>
      <c r="H247">
        <f t="shared" si="10"/>
        <v>0.33451248583000015</v>
      </c>
      <c r="I247">
        <f t="shared" si="11"/>
        <v>33.451248583000016</v>
      </c>
    </row>
    <row r="248" spans="1:9" x14ac:dyDescent="0.2">
      <c r="A248" s="1" t="s">
        <v>408</v>
      </c>
      <c r="B248" s="1" t="s">
        <v>409</v>
      </c>
      <c r="C248" s="1" t="s">
        <v>46</v>
      </c>
      <c r="D248" s="1" t="s">
        <v>47</v>
      </c>
      <c r="E248" s="1">
        <v>0.77394032999999995</v>
      </c>
      <c r="F248" s="1">
        <v>0.10244816900000001</v>
      </c>
      <c r="G248" s="1">
        <f t="shared" si="9"/>
        <v>0.70454094133000011</v>
      </c>
      <c r="H248">
        <f t="shared" si="10"/>
        <v>0.29545905866999989</v>
      </c>
      <c r="I248">
        <f t="shared" si="11"/>
        <v>29.545905866999988</v>
      </c>
    </row>
    <row r="249" spans="1:9" x14ac:dyDescent="0.2">
      <c r="A249" s="1" t="s">
        <v>410</v>
      </c>
      <c r="B249" s="1" t="s">
        <v>411</v>
      </c>
      <c r="C249" s="1" t="s">
        <v>34</v>
      </c>
      <c r="D249" s="1" t="s">
        <v>35</v>
      </c>
      <c r="E249" s="1">
        <v>0.86972883199999995</v>
      </c>
      <c r="F249" s="1">
        <v>5.4505981000000002E-2</v>
      </c>
      <c r="G249" s="1">
        <f t="shared" si="9"/>
        <v>0.39163952201000007</v>
      </c>
      <c r="H249">
        <f t="shared" si="10"/>
        <v>0.60836047798999993</v>
      </c>
      <c r="I249">
        <f t="shared" si="11"/>
        <v>60.836047798999992</v>
      </c>
    </row>
    <row r="250" spans="1:9" x14ac:dyDescent="0.2">
      <c r="A250" s="1" t="s">
        <v>412</v>
      </c>
      <c r="B250" s="1" t="s">
        <v>413</v>
      </c>
      <c r="C250" s="1" t="s">
        <v>6</v>
      </c>
      <c r="D250" s="1" t="s">
        <v>7</v>
      </c>
      <c r="E250" s="1">
        <v>0.86574074099999998</v>
      </c>
      <c r="F250" s="1">
        <v>4.4527010999999998E-2</v>
      </c>
      <c r="G250" s="1">
        <f t="shared" si="9"/>
        <v>0.36670617998999999</v>
      </c>
      <c r="H250">
        <f t="shared" si="10"/>
        <v>0.63329382001000001</v>
      </c>
      <c r="I250">
        <f t="shared" si="11"/>
        <v>63.329382000999999</v>
      </c>
    </row>
    <row r="251" spans="1:9" x14ac:dyDescent="0.2">
      <c r="A251" s="1" t="s">
        <v>414</v>
      </c>
      <c r="B251" s="1" t="s">
        <v>415</v>
      </c>
      <c r="C251" s="1" t="s">
        <v>34</v>
      </c>
      <c r="D251" s="1" t="s">
        <v>35</v>
      </c>
      <c r="E251" s="1">
        <v>0.86253311300000002</v>
      </c>
      <c r="F251" s="1">
        <v>6.1392645000000003E-2</v>
      </c>
      <c r="G251" s="1">
        <f t="shared" si="9"/>
        <v>0.42555905481</v>
      </c>
      <c r="H251">
        <f t="shared" si="10"/>
        <v>0.57444094519</v>
      </c>
      <c r="I251">
        <f t="shared" si="11"/>
        <v>57.444094518999997</v>
      </c>
    </row>
    <row r="252" spans="1:9" x14ac:dyDescent="0.2">
      <c r="A252" s="1" t="s">
        <v>416</v>
      </c>
      <c r="B252" s="1" t="s">
        <v>417</v>
      </c>
      <c r="C252" s="1" t="s">
        <v>34</v>
      </c>
      <c r="D252" s="1" t="s">
        <v>35</v>
      </c>
      <c r="E252" s="1">
        <v>0.85038691499999997</v>
      </c>
      <c r="F252" s="1">
        <v>6.8196558000000004E-2</v>
      </c>
      <c r="G252" s="1">
        <f t="shared" si="9"/>
        <v>0.46753307166000002</v>
      </c>
      <c r="H252">
        <f t="shared" si="10"/>
        <v>0.53246692833999998</v>
      </c>
      <c r="I252">
        <f t="shared" si="11"/>
        <v>53.246692834000001</v>
      </c>
    </row>
    <row r="253" spans="1:9" x14ac:dyDescent="0.2">
      <c r="A253" s="1" t="s">
        <v>418</v>
      </c>
      <c r="B253" s="1" t="s">
        <v>419</v>
      </c>
      <c r="C253" s="1" t="s">
        <v>10</v>
      </c>
      <c r="D253" s="1" t="s">
        <v>11</v>
      </c>
      <c r="E253" s="1">
        <v>0.810897537</v>
      </c>
      <c r="F253" s="1">
        <v>8.2343752000000006E-2</v>
      </c>
      <c r="G253" s="1">
        <f t="shared" si="9"/>
        <v>0.57872183168000002</v>
      </c>
      <c r="H253">
        <f t="shared" si="10"/>
        <v>0.42127816831999998</v>
      </c>
      <c r="I253">
        <f t="shared" si="11"/>
        <v>42.127816832000001</v>
      </c>
    </row>
    <row r="254" spans="1:9" x14ac:dyDescent="0.2">
      <c r="A254" s="1" t="s">
        <v>420</v>
      </c>
      <c r="B254" s="1" t="s">
        <v>421</v>
      </c>
      <c r="C254" s="1" t="s">
        <v>38</v>
      </c>
      <c r="D254" s="1" t="s">
        <v>39</v>
      </c>
      <c r="E254" s="1">
        <v>0.81424747200000003</v>
      </c>
      <c r="F254" s="1">
        <v>8.3794988000000001E-2</v>
      </c>
      <c r="G254" s="1">
        <f t="shared" si="9"/>
        <v>0.57769435899999988</v>
      </c>
      <c r="H254">
        <f t="shared" si="10"/>
        <v>0.42230564100000012</v>
      </c>
      <c r="I254">
        <f t="shared" si="11"/>
        <v>42.230564100000009</v>
      </c>
    </row>
    <row r="255" spans="1:9" x14ac:dyDescent="0.2">
      <c r="A255" s="1" t="s">
        <v>422</v>
      </c>
      <c r="B255" s="1" t="s">
        <v>423</v>
      </c>
      <c r="C255" s="1" t="s">
        <v>6</v>
      </c>
      <c r="D255" s="1" t="s">
        <v>7</v>
      </c>
      <c r="E255" s="1">
        <v>0.85001465300000001</v>
      </c>
      <c r="F255" s="1">
        <v>5.6246946999999999E-2</v>
      </c>
      <c r="G255" s="1">
        <f t="shared" si="9"/>
        <v>0.43027820495000002</v>
      </c>
      <c r="H255">
        <f t="shared" si="10"/>
        <v>0.56972179504999998</v>
      </c>
      <c r="I255">
        <f t="shared" si="11"/>
        <v>56.972179505</v>
      </c>
    </row>
    <row r="256" spans="1:9" x14ac:dyDescent="0.2">
      <c r="A256" s="1" t="s">
        <v>1250</v>
      </c>
      <c r="B256" s="1" t="s">
        <v>1251</v>
      </c>
      <c r="C256" s="1" t="s">
        <v>1176</v>
      </c>
      <c r="D256" s="1" t="s">
        <v>1177</v>
      </c>
      <c r="E256" s="1">
        <v>0.73999856200000003</v>
      </c>
      <c r="F256" s="1">
        <v>0.12518359500000001</v>
      </c>
      <c r="G256" s="1">
        <f t="shared" si="9"/>
        <v>0.83363441198999999</v>
      </c>
      <c r="H256">
        <f t="shared" si="10"/>
        <v>0.16636558801000001</v>
      </c>
      <c r="I256">
        <f t="shared" si="11"/>
        <v>16.636558801</v>
      </c>
    </row>
    <row r="257" spans="1:9" x14ac:dyDescent="0.2">
      <c r="A257" s="1" t="s">
        <v>424</v>
      </c>
      <c r="B257" s="1" t="s">
        <v>425</v>
      </c>
      <c r="C257" s="1" t="s">
        <v>34</v>
      </c>
      <c r="D257" s="1" t="s">
        <v>35</v>
      </c>
      <c r="E257" s="1">
        <v>0.87354492299999997</v>
      </c>
      <c r="F257" s="1">
        <v>5.5028348999999997E-2</v>
      </c>
      <c r="G257" s="1">
        <f t="shared" si="9"/>
        <v>0.38688439569000005</v>
      </c>
      <c r="H257">
        <f t="shared" si="10"/>
        <v>0.6131156043099999</v>
      </c>
      <c r="I257">
        <f t="shared" si="11"/>
        <v>61.31156043099999</v>
      </c>
    </row>
    <row r="258" spans="1:9" x14ac:dyDescent="0.2">
      <c r="A258" s="1" t="s">
        <v>426</v>
      </c>
      <c r="B258" s="1" t="s">
        <v>427</v>
      </c>
      <c r="C258" s="1" t="s">
        <v>34</v>
      </c>
      <c r="D258" s="1" t="s">
        <v>35</v>
      </c>
      <c r="E258" s="1">
        <v>0.86533196400000001</v>
      </c>
      <c r="F258" s="1">
        <v>5.7178303E-2</v>
      </c>
      <c r="G258" s="1">
        <f t="shared" si="9"/>
        <v>0.40749752098999992</v>
      </c>
      <c r="H258">
        <f t="shared" si="10"/>
        <v>0.59250247901000008</v>
      </c>
      <c r="I258">
        <f t="shared" si="11"/>
        <v>59.250247901000009</v>
      </c>
    </row>
    <row r="259" spans="1:9" x14ac:dyDescent="0.2">
      <c r="A259" s="1" t="s">
        <v>428</v>
      </c>
      <c r="B259" s="1" t="s">
        <v>429</v>
      </c>
      <c r="C259" s="1" t="s">
        <v>18</v>
      </c>
      <c r="D259" s="1" t="s">
        <v>19</v>
      </c>
      <c r="E259" s="1">
        <v>0.83404662399999996</v>
      </c>
      <c r="F259" s="1">
        <v>6.4590565000000003E-2</v>
      </c>
      <c r="G259" s="1">
        <f t="shared" ref="G259:G322" si="12">1.68*(1-E259)+3.17*F259</f>
        <v>0.48355376273000006</v>
      </c>
      <c r="H259">
        <f t="shared" ref="H259:H322" si="13">1-G259</f>
        <v>0.51644623726999994</v>
      </c>
      <c r="I259">
        <f t="shared" ref="I259:I322" si="14">100*H259</f>
        <v>51.644623726999995</v>
      </c>
    </row>
    <row r="260" spans="1:9" x14ac:dyDescent="0.2">
      <c r="A260" s="1" t="s">
        <v>430</v>
      </c>
      <c r="B260" s="1" t="s">
        <v>431</v>
      </c>
      <c r="C260" s="1" t="s">
        <v>46</v>
      </c>
      <c r="D260" s="1" t="s">
        <v>47</v>
      </c>
      <c r="E260" s="1">
        <v>0.84118070599999994</v>
      </c>
      <c r="F260" s="1">
        <v>6.4344851999999994E-2</v>
      </c>
      <c r="G260" s="1">
        <f t="shared" si="12"/>
        <v>0.4707895947600001</v>
      </c>
      <c r="H260">
        <f t="shared" si="13"/>
        <v>0.52921040523999996</v>
      </c>
      <c r="I260">
        <f t="shared" si="14"/>
        <v>52.921040523999999</v>
      </c>
    </row>
    <row r="261" spans="1:9" x14ac:dyDescent="0.2">
      <c r="A261" s="1" t="s">
        <v>432</v>
      </c>
      <c r="B261" s="1" t="s">
        <v>433</v>
      </c>
      <c r="C261" s="1" t="s">
        <v>46</v>
      </c>
      <c r="D261" s="1" t="s">
        <v>47</v>
      </c>
      <c r="E261" s="1">
        <v>0.87184284400000001</v>
      </c>
      <c r="F261" s="1">
        <v>4.3840194999999998E-2</v>
      </c>
      <c r="G261" s="1">
        <f t="shared" si="12"/>
        <v>0.35427744022999996</v>
      </c>
      <c r="H261">
        <f t="shared" si="13"/>
        <v>0.64572255977000004</v>
      </c>
      <c r="I261">
        <f t="shared" si="14"/>
        <v>64.572255976999998</v>
      </c>
    </row>
    <row r="262" spans="1:9" x14ac:dyDescent="0.2">
      <c r="A262" s="1" t="s">
        <v>434</v>
      </c>
      <c r="B262" s="1" t="s">
        <v>435</v>
      </c>
      <c r="C262" s="1" t="s">
        <v>38</v>
      </c>
      <c r="D262" s="1" t="s">
        <v>39</v>
      </c>
      <c r="E262" s="1">
        <v>0.83892391899999996</v>
      </c>
      <c r="F262" s="1">
        <v>6.1878595000000002E-2</v>
      </c>
      <c r="G262" s="1">
        <f t="shared" si="12"/>
        <v>0.46676296223000002</v>
      </c>
      <c r="H262">
        <f t="shared" si="13"/>
        <v>0.53323703776999998</v>
      </c>
      <c r="I262">
        <f t="shared" si="14"/>
        <v>53.323703776999999</v>
      </c>
    </row>
    <row r="263" spans="1:9" x14ac:dyDescent="0.2">
      <c r="A263" s="1" t="s">
        <v>436</v>
      </c>
      <c r="B263" s="1" t="s">
        <v>437</v>
      </c>
      <c r="C263" s="1" t="s">
        <v>34</v>
      </c>
      <c r="D263" s="1" t="s">
        <v>35</v>
      </c>
      <c r="E263" s="1">
        <v>0.87964262199999999</v>
      </c>
      <c r="F263" s="1">
        <v>5.5432521999999998E-2</v>
      </c>
      <c r="G263" s="1">
        <f t="shared" si="12"/>
        <v>0.37792148978000001</v>
      </c>
      <c r="H263">
        <f t="shared" si="13"/>
        <v>0.62207851021999994</v>
      </c>
      <c r="I263">
        <f t="shared" si="14"/>
        <v>62.207851021999993</v>
      </c>
    </row>
    <row r="264" spans="1:9" x14ac:dyDescent="0.2">
      <c r="A264" s="1" t="s">
        <v>438</v>
      </c>
      <c r="B264" s="1" t="s">
        <v>439</v>
      </c>
      <c r="C264" s="1" t="s">
        <v>34</v>
      </c>
      <c r="D264" s="1" t="s">
        <v>35</v>
      </c>
      <c r="E264" s="1">
        <v>0.88323296600000001</v>
      </c>
      <c r="F264" s="1">
        <v>5.0993929E-2</v>
      </c>
      <c r="G264" s="1">
        <f t="shared" si="12"/>
        <v>0.35781937204999997</v>
      </c>
      <c r="H264">
        <f t="shared" si="13"/>
        <v>0.64218062794999997</v>
      </c>
      <c r="I264">
        <f t="shared" si="14"/>
        <v>64.218062794999994</v>
      </c>
    </row>
    <row r="265" spans="1:9" x14ac:dyDescent="0.2">
      <c r="A265" s="1" t="s">
        <v>440</v>
      </c>
      <c r="B265" s="1" t="s">
        <v>441</v>
      </c>
      <c r="C265" s="1" t="s">
        <v>98</v>
      </c>
      <c r="D265" s="1" t="s">
        <v>99</v>
      </c>
      <c r="E265" s="1">
        <v>0.771004354</v>
      </c>
      <c r="F265" s="1">
        <v>0.113820962</v>
      </c>
      <c r="G265" s="1">
        <f t="shared" si="12"/>
        <v>0.74552513481999994</v>
      </c>
      <c r="H265">
        <f t="shared" si="13"/>
        <v>0.25447486518000006</v>
      </c>
      <c r="I265">
        <f t="shared" si="14"/>
        <v>25.447486518000005</v>
      </c>
    </row>
    <row r="266" spans="1:9" x14ac:dyDescent="0.2">
      <c r="A266" s="1" t="s">
        <v>442</v>
      </c>
      <c r="B266" s="1" t="s">
        <v>443</v>
      </c>
      <c r="C266" s="1" t="s">
        <v>46</v>
      </c>
      <c r="D266" s="1" t="s">
        <v>47</v>
      </c>
      <c r="E266" s="1">
        <v>0.80952866300000004</v>
      </c>
      <c r="F266" s="1">
        <v>7.6785859999999997E-2</v>
      </c>
      <c r="G266" s="1">
        <f t="shared" si="12"/>
        <v>0.56340302235999995</v>
      </c>
      <c r="H266">
        <f t="shared" si="13"/>
        <v>0.43659697764000005</v>
      </c>
      <c r="I266">
        <f t="shared" si="14"/>
        <v>43.659697764000008</v>
      </c>
    </row>
    <row r="267" spans="1:9" x14ac:dyDescent="0.2">
      <c r="A267" s="1" t="s">
        <v>444</v>
      </c>
      <c r="B267" s="1" t="s">
        <v>445</v>
      </c>
      <c r="C267" s="1" t="s">
        <v>6</v>
      </c>
      <c r="D267" s="1" t="s">
        <v>7</v>
      </c>
      <c r="E267" s="1">
        <v>0.77593329300000002</v>
      </c>
      <c r="F267" s="1">
        <v>9.7073947999999993E-2</v>
      </c>
      <c r="G267" s="1">
        <f t="shared" si="12"/>
        <v>0.68415648291999998</v>
      </c>
      <c r="H267">
        <f t="shared" si="13"/>
        <v>0.31584351708000002</v>
      </c>
      <c r="I267">
        <f t="shared" si="14"/>
        <v>31.584351708000003</v>
      </c>
    </row>
    <row r="268" spans="1:9" x14ac:dyDescent="0.2">
      <c r="A268" s="1" t="s">
        <v>446</v>
      </c>
      <c r="B268" s="1" t="s">
        <v>447</v>
      </c>
      <c r="C268" s="1" t="s">
        <v>6</v>
      </c>
      <c r="D268" s="1" t="s">
        <v>7</v>
      </c>
      <c r="E268" s="1">
        <v>0.79835798099999999</v>
      </c>
      <c r="F268" s="1">
        <v>8.4763959999999999E-2</v>
      </c>
      <c r="G268" s="1">
        <f t="shared" si="12"/>
        <v>0.60746034512000002</v>
      </c>
      <c r="H268">
        <f t="shared" si="13"/>
        <v>0.39253965487999998</v>
      </c>
      <c r="I268">
        <f t="shared" si="14"/>
        <v>39.253965487999999</v>
      </c>
    </row>
    <row r="269" spans="1:9" x14ac:dyDescent="0.2">
      <c r="A269" s="1" t="s">
        <v>448</v>
      </c>
      <c r="B269" s="1" t="s">
        <v>449</v>
      </c>
      <c r="C269" s="1" t="s">
        <v>34</v>
      </c>
      <c r="D269" s="1" t="s">
        <v>35</v>
      </c>
      <c r="E269" s="1">
        <v>0.87756329099999997</v>
      </c>
      <c r="F269" s="1">
        <v>5.6685127000000002E-2</v>
      </c>
      <c r="G269" s="1">
        <f t="shared" si="12"/>
        <v>0.38538552371000007</v>
      </c>
      <c r="H269">
        <f t="shared" si="13"/>
        <v>0.61461447628999988</v>
      </c>
      <c r="I269">
        <f t="shared" si="14"/>
        <v>61.461447628999991</v>
      </c>
    </row>
    <row r="270" spans="1:9" x14ac:dyDescent="0.2">
      <c r="A270" s="1" t="s">
        <v>450</v>
      </c>
      <c r="B270" s="1" t="s">
        <v>451</v>
      </c>
      <c r="C270" s="1" t="s">
        <v>14</v>
      </c>
      <c r="D270" s="1" t="s">
        <v>15</v>
      </c>
      <c r="E270" s="1">
        <v>0.810217046</v>
      </c>
      <c r="F270" s="1">
        <v>8.0465855000000003E-2</v>
      </c>
      <c r="G270" s="1">
        <f t="shared" si="12"/>
        <v>0.57391212306999995</v>
      </c>
      <c r="H270">
        <f t="shared" si="13"/>
        <v>0.42608787693000005</v>
      </c>
      <c r="I270">
        <f t="shared" si="14"/>
        <v>42.608787693000004</v>
      </c>
    </row>
    <row r="271" spans="1:9" x14ac:dyDescent="0.2">
      <c r="A271" s="1" t="s">
        <v>452</v>
      </c>
      <c r="B271" s="1" t="s">
        <v>453</v>
      </c>
      <c r="C271" s="1" t="s">
        <v>46</v>
      </c>
      <c r="D271" s="1" t="s">
        <v>47</v>
      </c>
      <c r="E271" s="1">
        <v>0.83943231100000004</v>
      </c>
      <c r="F271" s="1">
        <v>6.4232884000000004E-2</v>
      </c>
      <c r="G271" s="1">
        <f t="shared" si="12"/>
        <v>0.47337195979999991</v>
      </c>
      <c r="H271">
        <f t="shared" si="13"/>
        <v>0.52662804020000009</v>
      </c>
      <c r="I271">
        <f t="shared" si="14"/>
        <v>52.66280402000001</v>
      </c>
    </row>
    <row r="272" spans="1:9" x14ac:dyDescent="0.2">
      <c r="A272" s="1" t="s">
        <v>454</v>
      </c>
      <c r="B272" s="1" t="s">
        <v>455</v>
      </c>
      <c r="C272" s="1" t="s">
        <v>34</v>
      </c>
      <c r="D272" s="1" t="s">
        <v>35</v>
      </c>
      <c r="E272" s="1">
        <v>0.88002414600000001</v>
      </c>
      <c r="F272" s="1">
        <v>5.4383041999999999E-2</v>
      </c>
      <c r="G272" s="1">
        <f t="shared" si="12"/>
        <v>0.37395367786</v>
      </c>
      <c r="H272">
        <f t="shared" si="13"/>
        <v>0.62604632214</v>
      </c>
      <c r="I272">
        <f t="shared" si="14"/>
        <v>62.604632213999999</v>
      </c>
    </row>
    <row r="273" spans="1:9" x14ac:dyDescent="0.2">
      <c r="A273" s="1" t="s">
        <v>456</v>
      </c>
      <c r="B273" s="1" t="s">
        <v>457</v>
      </c>
      <c r="C273" s="1" t="s">
        <v>6</v>
      </c>
      <c r="D273" s="1" t="s">
        <v>7</v>
      </c>
      <c r="E273" s="1">
        <v>0.86192631200000003</v>
      </c>
      <c r="F273" s="1">
        <v>4.7627547999999999E-2</v>
      </c>
      <c r="G273" s="1">
        <f t="shared" si="12"/>
        <v>0.38294312299999989</v>
      </c>
      <c r="H273">
        <f t="shared" si="13"/>
        <v>0.61705687700000011</v>
      </c>
      <c r="I273">
        <f t="shared" si="14"/>
        <v>61.705687700000013</v>
      </c>
    </row>
    <row r="274" spans="1:9" x14ac:dyDescent="0.2">
      <c r="A274" s="1" t="s">
        <v>458</v>
      </c>
      <c r="B274" s="1" t="s">
        <v>459</v>
      </c>
      <c r="C274" s="1" t="s">
        <v>10</v>
      </c>
      <c r="D274" s="1" t="s">
        <v>11</v>
      </c>
      <c r="E274" s="1">
        <v>0.81542671200000005</v>
      </c>
      <c r="F274" s="1">
        <v>7.5164279000000001E-2</v>
      </c>
      <c r="G274" s="1">
        <f t="shared" si="12"/>
        <v>0.54835388826999987</v>
      </c>
      <c r="H274">
        <f t="shared" si="13"/>
        <v>0.45164611173000013</v>
      </c>
      <c r="I274">
        <f t="shared" si="14"/>
        <v>45.164611173000011</v>
      </c>
    </row>
    <row r="275" spans="1:9" x14ac:dyDescent="0.2">
      <c r="A275" s="1" t="s">
        <v>460</v>
      </c>
      <c r="B275" s="1" t="s">
        <v>461</v>
      </c>
      <c r="C275" s="1" t="s">
        <v>6</v>
      </c>
      <c r="D275" s="1" t="s">
        <v>7</v>
      </c>
      <c r="E275" s="1">
        <v>0.786251755</v>
      </c>
      <c r="F275" s="1">
        <v>9.3708653000000003E-2</v>
      </c>
      <c r="G275" s="1">
        <f t="shared" si="12"/>
        <v>0.65615348160999998</v>
      </c>
      <c r="H275">
        <f t="shared" si="13"/>
        <v>0.34384651839000002</v>
      </c>
      <c r="I275">
        <f t="shared" si="14"/>
        <v>34.384651839</v>
      </c>
    </row>
    <row r="276" spans="1:9" x14ac:dyDescent="0.2">
      <c r="A276" s="1" t="s">
        <v>462</v>
      </c>
      <c r="B276" s="1" t="s">
        <v>463</v>
      </c>
      <c r="C276" s="1" t="s">
        <v>46</v>
      </c>
      <c r="D276" s="1" t="s">
        <v>47</v>
      </c>
      <c r="E276" s="1">
        <v>0.86418036099999995</v>
      </c>
      <c r="F276" s="1">
        <v>4.8893555999999998E-2</v>
      </c>
      <c r="G276" s="1">
        <f t="shared" si="12"/>
        <v>0.38316956604000008</v>
      </c>
      <c r="H276">
        <f t="shared" si="13"/>
        <v>0.61683043395999992</v>
      </c>
      <c r="I276">
        <f t="shared" si="14"/>
        <v>61.683043395999995</v>
      </c>
    </row>
    <row r="277" spans="1:9" x14ac:dyDescent="0.2">
      <c r="A277" s="1" t="s">
        <v>464</v>
      </c>
      <c r="B277" s="1" t="s">
        <v>465</v>
      </c>
      <c r="C277" s="1" t="s">
        <v>46</v>
      </c>
      <c r="D277" s="1" t="s">
        <v>47</v>
      </c>
      <c r="E277" s="1">
        <v>0.85946292999999996</v>
      </c>
      <c r="F277" s="1">
        <v>5.7738791999999997E-2</v>
      </c>
      <c r="G277" s="1">
        <f t="shared" si="12"/>
        <v>0.41913424824000001</v>
      </c>
      <c r="H277">
        <f t="shared" si="13"/>
        <v>0.58086575175999999</v>
      </c>
      <c r="I277">
        <f t="shared" si="14"/>
        <v>58.086575175999997</v>
      </c>
    </row>
    <row r="278" spans="1:9" x14ac:dyDescent="0.2">
      <c r="A278" s="1" t="s">
        <v>466</v>
      </c>
      <c r="B278" s="1" t="s">
        <v>467</v>
      </c>
      <c r="C278" s="1" t="s">
        <v>98</v>
      </c>
      <c r="D278" s="1" t="s">
        <v>99</v>
      </c>
      <c r="E278" s="1">
        <v>0.81688243999999999</v>
      </c>
      <c r="F278" s="1">
        <v>7.3833521999999999E-2</v>
      </c>
      <c r="G278" s="1">
        <f t="shared" si="12"/>
        <v>0.54168976554000003</v>
      </c>
      <c r="H278">
        <f t="shared" si="13"/>
        <v>0.45831023445999997</v>
      </c>
      <c r="I278">
        <f t="shared" si="14"/>
        <v>45.831023445999996</v>
      </c>
    </row>
    <row r="279" spans="1:9" x14ac:dyDescent="0.2">
      <c r="A279" s="1" t="s">
        <v>468</v>
      </c>
      <c r="B279" s="1" t="s">
        <v>469</v>
      </c>
      <c r="C279" s="1" t="s">
        <v>14</v>
      </c>
      <c r="D279" s="1" t="s">
        <v>15</v>
      </c>
      <c r="E279" s="1">
        <v>0.80496960100000003</v>
      </c>
      <c r="F279" s="1">
        <v>9.1475406999999995E-2</v>
      </c>
      <c r="G279" s="1">
        <f t="shared" si="12"/>
        <v>0.61762811050999988</v>
      </c>
      <c r="H279">
        <f t="shared" si="13"/>
        <v>0.38237188949000012</v>
      </c>
      <c r="I279">
        <f t="shared" si="14"/>
        <v>38.237188949000014</v>
      </c>
    </row>
    <row r="280" spans="1:9" x14ac:dyDescent="0.2">
      <c r="A280" s="1" t="s">
        <v>470</v>
      </c>
      <c r="B280" s="1" t="s">
        <v>471</v>
      </c>
      <c r="C280" s="1" t="s">
        <v>18</v>
      </c>
      <c r="D280" s="1" t="s">
        <v>19</v>
      </c>
      <c r="E280" s="1">
        <v>0.81599639300000004</v>
      </c>
      <c r="F280" s="1">
        <v>7.3031792999999998E-2</v>
      </c>
      <c r="G280" s="1">
        <f t="shared" si="12"/>
        <v>0.54063684356999986</v>
      </c>
      <c r="H280">
        <f t="shared" si="13"/>
        <v>0.45936315643000014</v>
      </c>
      <c r="I280">
        <f t="shared" si="14"/>
        <v>45.936315643000015</v>
      </c>
    </row>
    <row r="281" spans="1:9" x14ac:dyDescent="0.2">
      <c r="A281" s="1" t="s">
        <v>472</v>
      </c>
      <c r="B281" s="1" t="s">
        <v>473</v>
      </c>
      <c r="C281" s="1" t="s">
        <v>18</v>
      </c>
      <c r="D281" s="1" t="s">
        <v>19</v>
      </c>
      <c r="E281" s="1">
        <v>0.82254152800000002</v>
      </c>
      <c r="F281" s="1">
        <v>6.8556119999999998E-2</v>
      </c>
      <c r="G281" s="1">
        <f t="shared" si="12"/>
        <v>0.51545313335999998</v>
      </c>
      <c r="H281">
        <f t="shared" si="13"/>
        <v>0.48454686664000002</v>
      </c>
      <c r="I281">
        <f t="shared" si="14"/>
        <v>48.454686664</v>
      </c>
    </row>
    <row r="282" spans="1:9" x14ac:dyDescent="0.2">
      <c r="A282" s="1" t="s">
        <v>474</v>
      </c>
      <c r="B282" s="1" t="s">
        <v>475</v>
      </c>
      <c r="C282" s="1" t="s">
        <v>46</v>
      </c>
      <c r="D282" s="1" t="s">
        <v>47</v>
      </c>
      <c r="E282" s="1">
        <v>0.85313275600000005</v>
      </c>
      <c r="F282" s="1">
        <v>5.2352732999999999E-2</v>
      </c>
      <c r="G282" s="1">
        <f t="shared" si="12"/>
        <v>0.41269513352999987</v>
      </c>
      <c r="H282">
        <f t="shared" si="13"/>
        <v>0.58730486647000013</v>
      </c>
      <c r="I282">
        <f t="shared" si="14"/>
        <v>58.730486647000014</v>
      </c>
    </row>
    <row r="283" spans="1:9" x14ac:dyDescent="0.2">
      <c r="A283" s="1" t="s">
        <v>476</v>
      </c>
      <c r="B283" s="1" t="s">
        <v>477</v>
      </c>
      <c r="C283" s="1" t="s">
        <v>34</v>
      </c>
      <c r="D283" s="1" t="s">
        <v>35</v>
      </c>
      <c r="E283" s="1">
        <v>0.83319185100000004</v>
      </c>
      <c r="F283" s="1">
        <v>7.4882097999999994E-2</v>
      </c>
      <c r="G283" s="1">
        <f t="shared" si="12"/>
        <v>0.51761394097999991</v>
      </c>
      <c r="H283">
        <f t="shared" si="13"/>
        <v>0.48238605902000009</v>
      </c>
      <c r="I283">
        <f t="shared" si="14"/>
        <v>48.23860590200001</v>
      </c>
    </row>
    <row r="284" spans="1:9" x14ac:dyDescent="0.2">
      <c r="A284" s="1" t="s">
        <v>478</v>
      </c>
      <c r="B284" s="1" t="s">
        <v>479</v>
      </c>
      <c r="C284" s="1" t="s">
        <v>54</v>
      </c>
      <c r="D284" s="1" t="s">
        <v>55</v>
      </c>
      <c r="E284" s="1">
        <v>0.80308716000000002</v>
      </c>
      <c r="F284" s="1">
        <v>7.5008182000000007E-2</v>
      </c>
      <c r="G284" s="1">
        <f t="shared" si="12"/>
        <v>0.56858950813999998</v>
      </c>
      <c r="H284">
        <f t="shared" si="13"/>
        <v>0.43141049186000002</v>
      </c>
      <c r="I284">
        <f t="shared" si="14"/>
        <v>43.141049186000004</v>
      </c>
    </row>
    <row r="285" spans="1:9" x14ac:dyDescent="0.2">
      <c r="A285" s="1" t="s">
        <v>480</v>
      </c>
      <c r="B285" s="1" t="s">
        <v>481</v>
      </c>
      <c r="C285" s="1" t="s">
        <v>34</v>
      </c>
      <c r="D285" s="1" t="s">
        <v>35</v>
      </c>
      <c r="E285" s="1">
        <v>0.84864804500000002</v>
      </c>
      <c r="F285" s="1">
        <v>6.5481672000000005E-2</v>
      </c>
      <c r="G285" s="1">
        <f t="shared" si="12"/>
        <v>0.46184818463999999</v>
      </c>
      <c r="H285">
        <f t="shared" si="13"/>
        <v>0.53815181536000001</v>
      </c>
      <c r="I285">
        <f t="shared" si="14"/>
        <v>53.815181535999997</v>
      </c>
    </row>
    <row r="286" spans="1:9" x14ac:dyDescent="0.2">
      <c r="A286" s="1" t="s">
        <v>482</v>
      </c>
      <c r="B286" s="1" t="s">
        <v>483</v>
      </c>
      <c r="C286" s="1" t="s">
        <v>34</v>
      </c>
      <c r="D286" s="1" t="s">
        <v>35</v>
      </c>
      <c r="E286" s="1">
        <v>0.869690886</v>
      </c>
      <c r="F286" s="1">
        <v>5.2152743000000001E-2</v>
      </c>
      <c r="G286" s="1">
        <f t="shared" si="12"/>
        <v>0.38424350682999997</v>
      </c>
      <c r="H286">
        <f t="shared" si="13"/>
        <v>0.61575649317000003</v>
      </c>
      <c r="I286">
        <f t="shared" si="14"/>
        <v>61.575649317</v>
      </c>
    </row>
    <row r="287" spans="1:9" x14ac:dyDescent="0.2">
      <c r="A287" s="1" t="s">
        <v>484</v>
      </c>
      <c r="B287" s="1" t="s">
        <v>485</v>
      </c>
      <c r="C287" s="1" t="s">
        <v>6</v>
      </c>
      <c r="D287" s="1" t="s">
        <v>7</v>
      </c>
      <c r="E287" s="1">
        <v>0.85667391800000003</v>
      </c>
      <c r="F287" s="1">
        <v>5.1375599000000001E-2</v>
      </c>
      <c r="G287" s="1">
        <f t="shared" si="12"/>
        <v>0.40364846658999998</v>
      </c>
      <c r="H287">
        <f t="shared" si="13"/>
        <v>0.59635153341000002</v>
      </c>
      <c r="I287">
        <f t="shared" si="14"/>
        <v>59.635153341000006</v>
      </c>
    </row>
    <row r="288" spans="1:9" x14ac:dyDescent="0.2">
      <c r="A288" s="1" t="s">
        <v>486</v>
      </c>
      <c r="B288" s="1" t="s">
        <v>487</v>
      </c>
      <c r="C288" s="1" t="s">
        <v>98</v>
      </c>
      <c r="D288" s="1" t="s">
        <v>99</v>
      </c>
      <c r="E288" s="1">
        <v>0.76062564099999996</v>
      </c>
      <c r="F288" s="1">
        <v>0.116864627</v>
      </c>
      <c r="G288" s="1">
        <f t="shared" si="12"/>
        <v>0.77260979071000002</v>
      </c>
      <c r="H288">
        <f t="shared" si="13"/>
        <v>0.22739020928999998</v>
      </c>
      <c r="I288">
        <f t="shared" si="14"/>
        <v>22.739020928999999</v>
      </c>
    </row>
    <row r="289" spans="1:9" x14ac:dyDescent="0.2">
      <c r="A289" s="1" t="s">
        <v>488</v>
      </c>
      <c r="B289" s="1" t="s">
        <v>489</v>
      </c>
      <c r="C289" s="1" t="s">
        <v>6</v>
      </c>
      <c r="D289" s="1" t="s">
        <v>7</v>
      </c>
      <c r="E289" s="1">
        <v>0.82470084200000005</v>
      </c>
      <c r="F289" s="1">
        <v>7.1177427000000001E-2</v>
      </c>
      <c r="G289" s="1">
        <f t="shared" si="12"/>
        <v>0.52013502902999997</v>
      </c>
      <c r="H289">
        <f t="shared" si="13"/>
        <v>0.47986497097000003</v>
      </c>
      <c r="I289">
        <f t="shared" si="14"/>
        <v>47.986497097000004</v>
      </c>
    </row>
    <row r="290" spans="1:9" x14ac:dyDescent="0.2">
      <c r="A290" s="1" t="s">
        <v>490</v>
      </c>
      <c r="B290" s="1" t="s">
        <v>491</v>
      </c>
      <c r="C290" s="1" t="s">
        <v>38</v>
      </c>
      <c r="D290" s="1" t="s">
        <v>39</v>
      </c>
      <c r="E290" s="1">
        <v>0.81141000699999999</v>
      </c>
      <c r="F290" s="1">
        <v>8.7110191000000003E-2</v>
      </c>
      <c r="G290" s="1">
        <f t="shared" si="12"/>
        <v>0.59297049370999999</v>
      </c>
      <c r="H290">
        <f t="shared" si="13"/>
        <v>0.40702950629000001</v>
      </c>
      <c r="I290">
        <f t="shared" si="14"/>
        <v>40.702950629</v>
      </c>
    </row>
    <row r="291" spans="1:9" x14ac:dyDescent="0.2">
      <c r="A291" s="1" t="s">
        <v>492</v>
      </c>
      <c r="B291" s="1" t="s">
        <v>493</v>
      </c>
      <c r="C291" s="1" t="s">
        <v>46</v>
      </c>
      <c r="D291" s="1" t="s">
        <v>47</v>
      </c>
      <c r="E291" s="1">
        <v>0.83828049800000004</v>
      </c>
      <c r="F291" s="1">
        <v>6.0328865000000002E-2</v>
      </c>
      <c r="G291" s="1">
        <f t="shared" si="12"/>
        <v>0.46293126540999996</v>
      </c>
      <c r="H291">
        <f t="shared" si="13"/>
        <v>0.53706873459000004</v>
      </c>
      <c r="I291">
        <f t="shared" si="14"/>
        <v>53.706873459000008</v>
      </c>
    </row>
    <row r="292" spans="1:9" x14ac:dyDescent="0.2">
      <c r="A292" s="1" t="s">
        <v>494</v>
      </c>
      <c r="B292" s="1" t="s">
        <v>495</v>
      </c>
      <c r="C292" s="1" t="s">
        <v>14</v>
      </c>
      <c r="D292" s="1" t="s">
        <v>15</v>
      </c>
      <c r="E292" s="1">
        <v>0.79183196</v>
      </c>
      <c r="F292" s="1">
        <v>9.6197820000000003E-2</v>
      </c>
      <c r="G292" s="1">
        <f t="shared" si="12"/>
        <v>0.6546693965999999</v>
      </c>
      <c r="H292">
        <f t="shared" si="13"/>
        <v>0.3453306034000001</v>
      </c>
      <c r="I292">
        <f t="shared" si="14"/>
        <v>34.533060340000013</v>
      </c>
    </row>
    <row r="293" spans="1:9" x14ac:dyDescent="0.2">
      <c r="A293" s="1" t="s">
        <v>496</v>
      </c>
      <c r="B293" s="1" t="s">
        <v>497</v>
      </c>
      <c r="C293" s="1" t="s">
        <v>34</v>
      </c>
      <c r="D293" s="1" t="s">
        <v>35</v>
      </c>
      <c r="E293" s="1">
        <v>0.87689886900000003</v>
      </c>
      <c r="F293" s="1">
        <v>5.5557879999999997E-2</v>
      </c>
      <c r="G293" s="1">
        <f t="shared" si="12"/>
        <v>0.38292837967999993</v>
      </c>
      <c r="H293">
        <f t="shared" si="13"/>
        <v>0.61707162032000007</v>
      </c>
      <c r="I293">
        <f t="shared" si="14"/>
        <v>61.707162032000006</v>
      </c>
    </row>
    <row r="294" spans="1:9" x14ac:dyDescent="0.2">
      <c r="A294" s="1" t="s">
        <v>498</v>
      </c>
      <c r="B294" s="1" t="s">
        <v>499</v>
      </c>
      <c r="C294" s="1" t="s">
        <v>34</v>
      </c>
      <c r="D294" s="1" t="s">
        <v>35</v>
      </c>
      <c r="E294" s="1">
        <v>0.883162801</v>
      </c>
      <c r="F294" s="1">
        <v>5.4756674999999998E-2</v>
      </c>
      <c r="G294" s="1">
        <f t="shared" si="12"/>
        <v>0.36986515406999998</v>
      </c>
      <c r="H294">
        <f t="shared" si="13"/>
        <v>0.63013484593000002</v>
      </c>
      <c r="I294">
        <f t="shared" si="14"/>
        <v>63.013484593000001</v>
      </c>
    </row>
    <row r="295" spans="1:9" x14ac:dyDescent="0.2">
      <c r="A295" s="1" t="s">
        <v>1252</v>
      </c>
      <c r="B295" s="1" t="s">
        <v>1253</v>
      </c>
      <c r="C295" s="1" t="s">
        <v>1176</v>
      </c>
      <c r="D295" s="1" t="s">
        <v>1177</v>
      </c>
      <c r="E295" s="1">
        <v>0.72171073799999996</v>
      </c>
      <c r="F295" s="1">
        <v>0.13566851399999999</v>
      </c>
      <c r="G295" s="1">
        <f t="shared" si="12"/>
        <v>0.89759514953999997</v>
      </c>
      <c r="H295">
        <f t="shared" si="13"/>
        <v>0.10240485046000003</v>
      </c>
      <c r="I295">
        <f t="shared" si="14"/>
        <v>10.240485046000003</v>
      </c>
    </row>
    <row r="296" spans="1:9" x14ac:dyDescent="0.2">
      <c r="A296" s="1" t="s">
        <v>1254</v>
      </c>
      <c r="B296" s="1" t="s">
        <v>1255</v>
      </c>
      <c r="C296" s="1" t="s">
        <v>1176</v>
      </c>
      <c r="D296" s="1" t="s">
        <v>1177</v>
      </c>
      <c r="E296" s="1">
        <v>0.771434285</v>
      </c>
      <c r="F296" s="1">
        <v>9.3250925999999998E-2</v>
      </c>
      <c r="G296" s="1">
        <f t="shared" si="12"/>
        <v>0.67959583662</v>
      </c>
      <c r="H296">
        <f t="shared" si="13"/>
        <v>0.32040416338</v>
      </c>
      <c r="I296">
        <f t="shared" si="14"/>
        <v>32.040416338</v>
      </c>
    </row>
    <row r="297" spans="1:9" x14ac:dyDescent="0.2">
      <c r="A297" s="1" t="s">
        <v>500</v>
      </c>
      <c r="B297" s="1" t="s">
        <v>501</v>
      </c>
      <c r="C297" s="1" t="s">
        <v>46</v>
      </c>
      <c r="D297" s="1" t="s">
        <v>47</v>
      </c>
      <c r="E297" s="1">
        <v>0.82016199300000003</v>
      </c>
      <c r="F297" s="1">
        <v>7.2992509999999997E-2</v>
      </c>
      <c r="G297" s="1">
        <f t="shared" si="12"/>
        <v>0.53351410845999991</v>
      </c>
      <c r="H297">
        <f t="shared" si="13"/>
        <v>0.46648589154000009</v>
      </c>
      <c r="I297">
        <f t="shared" si="14"/>
        <v>46.648589154000007</v>
      </c>
    </row>
    <row r="298" spans="1:9" x14ac:dyDescent="0.2">
      <c r="A298" s="1" t="s">
        <v>502</v>
      </c>
      <c r="B298" s="1" t="s">
        <v>503</v>
      </c>
      <c r="C298" s="1" t="s">
        <v>6</v>
      </c>
      <c r="D298" s="1" t="s">
        <v>7</v>
      </c>
      <c r="E298" s="1">
        <v>0.75893716300000003</v>
      </c>
      <c r="F298" s="1">
        <v>0.102937163</v>
      </c>
      <c r="G298" s="1">
        <f t="shared" si="12"/>
        <v>0.73129637286999993</v>
      </c>
      <c r="H298">
        <f t="shared" si="13"/>
        <v>0.26870362713000007</v>
      </c>
      <c r="I298">
        <f t="shared" si="14"/>
        <v>26.870362713000006</v>
      </c>
    </row>
    <row r="299" spans="1:9" x14ac:dyDescent="0.2">
      <c r="A299" s="1" t="s">
        <v>504</v>
      </c>
      <c r="B299" s="1" t="s">
        <v>505</v>
      </c>
      <c r="C299" s="1" t="s">
        <v>6</v>
      </c>
      <c r="D299" s="1" t="s">
        <v>7</v>
      </c>
      <c r="E299" s="1">
        <v>0.77452918100000001</v>
      </c>
      <c r="F299" s="1">
        <v>9.4107350000000006E-2</v>
      </c>
      <c r="G299" s="1">
        <f t="shared" si="12"/>
        <v>0.67711127541999994</v>
      </c>
      <c r="H299">
        <f t="shared" si="13"/>
        <v>0.32288872458000006</v>
      </c>
      <c r="I299">
        <f t="shared" si="14"/>
        <v>32.288872458000007</v>
      </c>
    </row>
    <row r="300" spans="1:9" x14ac:dyDescent="0.2">
      <c r="A300" s="1" t="s">
        <v>506</v>
      </c>
      <c r="B300" s="1" t="s">
        <v>507</v>
      </c>
      <c r="C300" s="1" t="s">
        <v>34</v>
      </c>
      <c r="D300" s="1" t="s">
        <v>35</v>
      </c>
      <c r="E300" s="1">
        <v>0.84038533299999996</v>
      </c>
      <c r="F300" s="1">
        <v>7.1375890999999997E-2</v>
      </c>
      <c r="G300" s="1">
        <f t="shared" si="12"/>
        <v>0.49441421503000005</v>
      </c>
      <c r="H300">
        <f t="shared" si="13"/>
        <v>0.50558578496999995</v>
      </c>
      <c r="I300">
        <f t="shared" si="14"/>
        <v>50.558578496999992</v>
      </c>
    </row>
    <row r="301" spans="1:9" x14ac:dyDescent="0.2">
      <c r="A301" s="1" t="s">
        <v>508</v>
      </c>
      <c r="B301" s="1" t="s">
        <v>509</v>
      </c>
      <c r="C301" s="1" t="s">
        <v>34</v>
      </c>
      <c r="D301" s="1" t="s">
        <v>35</v>
      </c>
      <c r="E301" s="1">
        <v>0.83808513600000001</v>
      </c>
      <c r="F301" s="1">
        <v>7.2708614000000005E-2</v>
      </c>
      <c r="G301" s="1">
        <f t="shared" si="12"/>
        <v>0.50250327790000004</v>
      </c>
      <c r="H301">
        <f t="shared" si="13"/>
        <v>0.49749672209999996</v>
      </c>
      <c r="I301">
        <f t="shared" si="14"/>
        <v>49.749672209999993</v>
      </c>
    </row>
    <row r="302" spans="1:9" x14ac:dyDescent="0.2">
      <c r="A302" s="1" t="s">
        <v>510</v>
      </c>
      <c r="B302" s="1" t="s">
        <v>511</v>
      </c>
      <c r="C302" s="1" t="s">
        <v>98</v>
      </c>
      <c r="D302" s="1" t="s">
        <v>99</v>
      </c>
      <c r="E302" s="1">
        <v>0.76758484699999996</v>
      </c>
      <c r="F302" s="1">
        <v>0.11352762499999999</v>
      </c>
      <c r="G302" s="1">
        <f t="shared" si="12"/>
        <v>0.75034002829000002</v>
      </c>
      <c r="H302">
        <f t="shared" si="13"/>
        <v>0.24965997170999998</v>
      </c>
      <c r="I302">
        <f t="shared" si="14"/>
        <v>24.965997170999998</v>
      </c>
    </row>
    <row r="303" spans="1:9" x14ac:dyDescent="0.2">
      <c r="A303" s="1" t="s">
        <v>512</v>
      </c>
      <c r="B303" s="1" t="s">
        <v>513</v>
      </c>
      <c r="C303" s="1" t="s">
        <v>38</v>
      </c>
      <c r="D303" s="1" t="s">
        <v>39</v>
      </c>
      <c r="E303" s="1">
        <v>0.82448178699999997</v>
      </c>
      <c r="F303" s="1">
        <v>7.5457838999999999E-2</v>
      </c>
      <c r="G303" s="1">
        <f t="shared" si="12"/>
        <v>0.53407194746999997</v>
      </c>
      <c r="H303">
        <f t="shared" si="13"/>
        <v>0.46592805253000003</v>
      </c>
      <c r="I303">
        <f t="shared" si="14"/>
        <v>46.592805253000002</v>
      </c>
    </row>
    <row r="304" spans="1:9" x14ac:dyDescent="0.2">
      <c r="A304" s="1" t="s">
        <v>514</v>
      </c>
      <c r="B304" s="1" t="s">
        <v>515</v>
      </c>
      <c r="C304" s="1" t="s">
        <v>10</v>
      </c>
      <c r="D304" s="1" t="s">
        <v>11</v>
      </c>
      <c r="E304" s="1">
        <v>0.85005551499999998</v>
      </c>
      <c r="F304" s="1">
        <v>5.1362258000000001E-2</v>
      </c>
      <c r="G304" s="1">
        <f t="shared" si="12"/>
        <v>0.41472509266000002</v>
      </c>
      <c r="H304">
        <f t="shared" si="13"/>
        <v>0.58527490733999998</v>
      </c>
      <c r="I304">
        <f t="shared" si="14"/>
        <v>58.527490733999997</v>
      </c>
    </row>
    <row r="305" spans="1:9" x14ac:dyDescent="0.2">
      <c r="A305" s="1" t="s">
        <v>516</v>
      </c>
      <c r="B305" s="1" t="s">
        <v>517</v>
      </c>
      <c r="C305" s="1" t="s">
        <v>34</v>
      </c>
      <c r="D305" s="1" t="s">
        <v>35</v>
      </c>
      <c r="E305" s="1">
        <v>0.87482219100000003</v>
      </c>
      <c r="F305" s="1">
        <v>5.6853846E-2</v>
      </c>
      <c r="G305" s="1">
        <f t="shared" si="12"/>
        <v>0.39052541093999993</v>
      </c>
      <c r="H305">
        <f t="shared" si="13"/>
        <v>0.60947458906000007</v>
      </c>
      <c r="I305">
        <f t="shared" si="14"/>
        <v>60.947458906000008</v>
      </c>
    </row>
    <row r="306" spans="1:9" x14ac:dyDescent="0.2">
      <c r="A306" s="1" t="s">
        <v>518</v>
      </c>
      <c r="B306" s="1" t="s">
        <v>519</v>
      </c>
      <c r="C306" s="1" t="s">
        <v>18</v>
      </c>
      <c r="D306" s="1" t="s">
        <v>19</v>
      </c>
      <c r="E306" s="1">
        <v>0.82502712499999997</v>
      </c>
      <c r="F306" s="1">
        <v>7.0063291E-2</v>
      </c>
      <c r="G306" s="1">
        <f t="shared" si="12"/>
        <v>0.51605506246999999</v>
      </c>
      <c r="H306">
        <f t="shared" si="13"/>
        <v>0.48394493753000001</v>
      </c>
      <c r="I306">
        <f t="shared" si="14"/>
        <v>48.394493752999999</v>
      </c>
    </row>
    <row r="307" spans="1:9" x14ac:dyDescent="0.2">
      <c r="A307" s="1" t="s">
        <v>1286</v>
      </c>
      <c r="B307" s="1" t="s">
        <v>1287</v>
      </c>
      <c r="C307" s="1" t="s">
        <v>1176</v>
      </c>
      <c r="D307" s="1" t="s">
        <v>1177</v>
      </c>
      <c r="E307" s="1">
        <v>0.737069686</v>
      </c>
      <c r="F307" s="1">
        <v>0.122211314</v>
      </c>
      <c r="G307" s="1">
        <f t="shared" si="12"/>
        <v>0.82913279289999997</v>
      </c>
      <c r="H307">
        <f t="shared" si="13"/>
        <v>0.17086720710000003</v>
      </c>
      <c r="I307">
        <f t="shared" si="14"/>
        <v>17.086720710000002</v>
      </c>
    </row>
    <row r="308" spans="1:9" x14ac:dyDescent="0.2">
      <c r="A308" s="1" t="s">
        <v>520</v>
      </c>
      <c r="B308" s="1" t="s">
        <v>521</v>
      </c>
      <c r="C308" s="1" t="s">
        <v>34</v>
      </c>
      <c r="D308" s="1" t="s">
        <v>35</v>
      </c>
      <c r="E308" s="1">
        <v>0.86536306500000004</v>
      </c>
      <c r="F308" s="1">
        <v>5.0418270000000001E-2</v>
      </c>
      <c r="G308" s="1">
        <f t="shared" si="12"/>
        <v>0.38601596669999994</v>
      </c>
      <c r="H308">
        <f t="shared" si="13"/>
        <v>0.61398403330000006</v>
      </c>
      <c r="I308">
        <f t="shared" si="14"/>
        <v>61.398403330000008</v>
      </c>
    </row>
    <row r="309" spans="1:9" x14ac:dyDescent="0.2">
      <c r="A309" s="1" t="s">
        <v>522</v>
      </c>
      <c r="B309" s="1" t="s">
        <v>523</v>
      </c>
      <c r="C309" s="1" t="s">
        <v>38</v>
      </c>
      <c r="D309" s="1" t="s">
        <v>39</v>
      </c>
      <c r="E309" s="1">
        <v>0.79047831199999996</v>
      </c>
      <c r="F309" s="1">
        <v>0.100272131</v>
      </c>
      <c r="G309" s="1">
        <f t="shared" si="12"/>
        <v>0.66985909111000008</v>
      </c>
      <c r="H309">
        <f t="shared" si="13"/>
        <v>0.33014090888999992</v>
      </c>
      <c r="I309">
        <f t="shared" si="14"/>
        <v>33.014090888999995</v>
      </c>
    </row>
    <row r="310" spans="1:9" x14ac:dyDescent="0.2">
      <c r="A310" s="1" t="s">
        <v>524</v>
      </c>
      <c r="B310" s="1" t="s">
        <v>525</v>
      </c>
      <c r="C310" s="1" t="s">
        <v>38</v>
      </c>
      <c r="D310" s="1" t="s">
        <v>39</v>
      </c>
      <c r="E310" s="1">
        <v>0.81167639300000005</v>
      </c>
      <c r="F310" s="1">
        <v>8.1265476000000003E-2</v>
      </c>
      <c r="G310" s="1">
        <f t="shared" si="12"/>
        <v>0.57399521867999992</v>
      </c>
      <c r="H310">
        <f t="shared" si="13"/>
        <v>0.42600478132000008</v>
      </c>
      <c r="I310">
        <f t="shared" si="14"/>
        <v>42.600478132000006</v>
      </c>
    </row>
    <row r="311" spans="1:9" x14ac:dyDescent="0.2">
      <c r="A311" s="1" t="s">
        <v>526</v>
      </c>
      <c r="B311" s="1" t="s">
        <v>527</v>
      </c>
      <c r="C311" s="1" t="s">
        <v>38</v>
      </c>
      <c r="D311" s="1" t="s">
        <v>39</v>
      </c>
      <c r="E311" s="1">
        <v>0.81092384900000003</v>
      </c>
      <c r="F311" s="1">
        <v>8.5896934999999994E-2</v>
      </c>
      <c r="G311" s="1">
        <f t="shared" si="12"/>
        <v>0.58994121762999985</v>
      </c>
      <c r="H311">
        <f t="shared" si="13"/>
        <v>0.41005878237000015</v>
      </c>
      <c r="I311">
        <f t="shared" si="14"/>
        <v>41.005878237000019</v>
      </c>
    </row>
    <row r="312" spans="1:9" x14ac:dyDescent="0.2">
      <c r="A312" s="1" t="s">
        <v>528</v>
      </c>
      <c r="B312" s="1" t="s">
        <v>529</v>
      </c>
      <c r="C312" s="1" t="s">
        <v>10</v>
      </c>
      <c r="D312" s="1" t="s">
        <v>11</v>
      </c>
      <c r="E312" s="1">
        <v>0.81952899999999995</v>
      </c>
      <c r="F312" s="1">
        <v>7.3801322000000003E-2</v>
      </c>
      <c r="G312" s="1">
        <f t="shared" si="12"/>
        <v>0.53714147074000007</v>
      </c>
      <c r="H312">
        <f t="shared" si="13"/>
        <v>0.46285852925999993</v>
      </c>
      <c r="I312">
        <f t="shared" si="14"/>
        <v>46.28585292599999</v>
      </c>
    </row>
    <row r="313" spans="1:9" x14ac:dyDescent="0.2">
      <c r="A313" s="1" t="s">
        <v>530</v>
      </c>
      <c r="B313" s="1" t="s">
        <v>531</v>
      </c>
      <c r="C313" s="1" t="s">
        <v>14</v>
      </c>
      <c r="D313" s="1" t="s">
        <v>15</v>
      </c>
      <c r="E313" s="1">
        <v>0.76507729599999996</v>
      </c>
      <c r="F313" s="1">
        <v>0.13053279300000001</v>
      </c>
      <c r="G313" s="1">
        <f t="shared" si="12"/>
        <v>0.80845909653000003</v>
      </c>
      <c r="H313">
        <f t="shared" si="13"/>
        <v>0.19154090346999997</v>
      </c>
      <c r="I313">
        <f t="shared" si="14"/>
        <v>19.154090346999997</v>
      </c>
    </row>
    <row r="314" spans="1:9" x14ac:dyDescent="0.2">
      <c r="A314" s="1" t="s">
        <v>532</v>
      </c>
      <c r="B314" s="1" t="s">
        <v>533</v>
      </c>
      <c r="C314" s="1" t="s">
        <v>14</v>
      </c>
      <c r="D314" s="1" t="s">
        <v>15</v>
      </c>
      <c r="E314" s="1">
        <v>0.80871828199999996</v>
      </c>
      <c r="F314" s="1">
        <v>7.5151552999999996E-2</v>
      </c>
      <c r="G314" s="1">
        <f t="shared" si="12"/>
        <v>0.55958370925000001</v>
      </c>
      <c r="H314">
        <f t="shared" si="13"/>
        <v>0.44041629074999999</v>
      </c>
      <c r="I314">
        <f t="shared" si="14"/>
        <v>44.041629075000003</v>
      </c>
    </row>
    <row r="315" spans="1:9" x14ac:dyDescent="0.2">
      <c r="A315" s="1" t="s">
        <v>534</v>
      </c>
      <c r="B315" s="1" t="s">
        <v>535</v>
      </c>
      <c r="C315" s="1" t="s">
        <v>38</v>
      </c>
      <c r="D315" s="1" t="s">
        <v>39</v>
      </c>
      <c r="E315" s="1">
        <v>0.83985821999999999</v>
      </c>
      <c r="F315" s="1">
        <v>5.3092269999999997E-2</v>
      </c>
      <c r="G315" s="1">
        <f t="shared" si="12"/>
        <v>0.4373406863</v>
      </c>
      <c r="H315">
        <f t="shared" si="13"/>
        <v>0.5626593137</v>
      </c>
      <c r="I315">
        <f t="shared" si="14"/>
        <v>56.265931369999997</v>
      </c>
    </row>
    <row r="316" spans="1:9" x14ac:dyDescent="0.2">
      <c r="A316" s="1" t="s">
        <v>536</v>
      </c>
      <c r="B316" s="1" t="s">
        <v>537</v>
      </c>
      <c r="C316" s="1" t="s">
        <v>38</v>
      </c>
      <c r="D316" s="1" t="s">
        <v>39</v>
      </c>
      <c r="E316" s="1">
        <v>0.82321173199999997</v>
      </c>
      <c r="F316" s="1">
        <v>7.9969088999999993E-2</v>
      </c>
      <c r="G316" s="1">
        <f t="shared" si="12"/>
        <v>0.55050630236999998</v>
      </c>
      <c r="H316">
        <f t="shared" si="13"/>
        <v>0.44949369763000002</v>
      </c>
      <c r="I316">
        <f t="shared" si="14"/>
        <v>44.949369763</v>
      </c>
    </row>
    <row r="317" spans="1:9" x14ac:dyDescent="0.2">
      <c r="A317" s="1" t="s">
        <v>538</v>
      </c>
      <c r="B317" s="1" t="s">
        <v>539</v>
      </c>
      <c r="C317" s="1" t="s">
        <v>38</v>
      </c>
      <c r="D317" s="1" t="s">
        <v>39</v>
      </c>
      <c r="E317" s="1">
        <v>0.84571636500000003</v>
      </c>
      <c r="F317" s="1">
        <v>6.5356623000000003E-2</v>
      </c>
      <c r="G317" s="1">
        <f t="shared" si="12"/>
        <v>0.46637700170999996</v>
      </c>
      <c r="H317">
        <f t="shared" si="13"/>
        <v>0.53362299829000004</v>
      </c>
      <c r="I317">
        <f t="shared" si="14"/>
        <v>53.362299829000001</v>
      </c>
    </row>
    <row r="318" spans="1:9" x14ac:dyDescent="0.2">
      <c r="A318" s="1" t="s">
        <v>540</v>
      </c>
      <c r="B318" s="1" t="s">
        <v>541</v>
      </c>
      <c r="C318" s="1" t="s">
        <v>38</v>
      </c>
      <c r="D318" s="1" t="s">
        <v>39</v>
      </c>
      <c r="E318" s="1">
        <v>0.844704487</v>
      </c>
      <c r="F318" s="1">
        <v>5.7010353999999999E-2</v>
      </c>
      <c r="G318" s="1">
        <f t="shared" si="12"/>
        <v>0.44161928401999995</v>
      </c>
      <c r="H318">
        <f t="shared" si="13"/>
        <v>0.55838071598000005</v>
      </c>
      <c r="I318">
        <f t="shared" si="14"/>
        <v>55.838071598000006</v>
      </c>
    </row>
    <row r="319" spans="1:9" x14ac:dyDescent="0.2">
      <c r="A319" s="1" t="s">
        <v>542</v>
      </c>
      <c r="B319" s="1" t="s">
        <v>543</v>
      </c>
      <c r="C319" s="1" t="s">
        <v>38</v>
      </c>
      <c r="D319" s="1" t="s">
        <v>39</v>
      </c>
      <c r="E319" s="1">
        <v>0.83180319999999996</v>
      </c>
      <c r="F319" s="1">
        <v>7.5882305999999997E-2</v>
      </c>
      <c r="G319" s="1">
        <f t="shared" si="12"/>
        <v>0.52311753402000005</v>
      </c>
      <c r="H319">
        <f t="shared" si="13"/>
        <v>0.47688246597999995</v>
      </c>
      <c r="I319">
        <f t="shared" si="14"/>
        <v>47.688246597999992</v>
      </c>
    </row>
    <row r="320" spans="1:9" x14ac:dyDescent="0.2">
      <c r="A320" s="1" t="s">
        <v>544</v>
      </c>
      <c r="B320" s="1" t="s">
        <v>545</v>
      </c>
      <c r="C320" s="1" t="s">
        <v>38</v>
      </c>
      <c r="D320" s="1" t="s">
        <v>39</v>
      </c>
      <c r="E320" s="1">
        <v>0.82844934800000003</v>
      </c>
      <c r="F320" s="1">
        <v>7.1321862E-2</v>
      </c>
      <c r="G320" s="1">
        <f t="shared" si="12"/>
        <v>0.5142953978999999</v>
      </c>
      <c r="H320">
        <f t="shared" si="13"/>
        <v>0.4857046021000001</v>
      </c>
      <c r="I320">
        <f t="shared" si="14"/>
        <v>48.570460210000007</v>
      </c>
    </row>
    <row r="321" spans="1:9" x14ac:dyDescent="0.2">
      <c r="A321" s="1" t="s">
        <v>546</v>
      </c>
      <c r="B321" s="1" t="s">
        <v>547</v>
      </c>
      <c r="C321" s="1" t="s">
        <v>38</v>
      </c>
      <c r="D321" s="1" t="s">
        <v>39</v>
      </c>
      <c r="E321" s="1">
        <v>0.81960866099999996</v>
      </c>
      <c r="F321" s="1">
        <v>7.6490851999999998E-2</v>
      </c>
      <c r="G321" s="1">
        <f t="shared" si="12"/>
        <v>0.54553345036000001</v>
      </c>
      <c r="H321">
        <f t="shared" si="13"/>
        <v>0.45446654963999999</v>
      </c>
      <c r="I321">
        <f t="shared" si="14"/>
        <v>45.446654963999997</v>
      </c>
    </row>
    <row r="322" spans="1:9" x14ac:dyDescent="0.2">
      <c r="A322" s="1" t="s">
        <v>548</v>
      </c>
      <c r="B322" s="1" t="s">
        <v>549</v>
      </c>
      <c r="C322" s="1" t="s">
        <v>18</v>
      </c>
      <c r="D322" s="1" t="s">
        <v>19</v>
      </c>
      <c r="E322" s="1">
        <v>0.86018210299999998</v>
      </c>
      <c r="F322" s="1">
        <v>6.7305764000000004E-2</v>
      </c>
      <c r="G322" s="1">
        <f t="shared" si="12"/>
        <v>0.44825333884000007</v>
      </c>
      <c r="H322">
        <f t="shared" si="13"/>
        <v>0.55174666115999993</v>
      </c>
      <c r="I322">
        <f t="shared" si="14"/>
        <v>55.17466611599999</v>
      </c>
    </row>
    <row r="323" spans="1:9" x14ac:dyDescent="0.2">
      <c r="A323" s="1" t="s">
        <v>550</v>
      </c>
      <c r="B323" s="1" t="s">
        <v>551</v>
      </c>
      <c r="C323" s="1" t="s">
        <v>18</v>
      </c>
      <c r="D323" s="1" t="s">
        <v>19</v>
      </c>
      <c r="E323" s="1">
        <v>0.84589484999999998</v>
      </c>
      <c r="F323" s="1">
        <v>6.5192504999999998E-2</v>
      </c>
      <c r="G323" s="1">
        <f t="shared" ref="G323:G386" si="15">1.68*(1-E323)+3.17*F323</f>
        <v>0.46555689285000001</v>
      </c>
      <c r="H323">
        <f t="shared" ref="H323:H386" si="16">1-G323</f>
        <v>0.53444310714999999</v>
      </c>
      <c r="I323">
        <f t="shared" ref="I323:I386" si="17">100*H323</f>
        <v>53.444310715</v>
      </c>
    </row>
    <row r="324" spans="1:9" x14ac:dyDescent="0.2">
      <c r="A324" s="1" t="s">
        <v>552</v>
      </c>
      <c r="B324" s="1" t="s">
        <v>553</v>
      </c>
      <c r="C324" s="1" t="s">
        <v>18</v>
      </c>
      <c r="D324" s="1" t="s">
        <v>19</v>
      </c>
      <c r="E324" s="1">
        <v>0.82886807200000001</v>
      </c>
      <c r="F324" s="1">
        <v>7.6386335999999999E-2</v>
      </c>
      <c r="G324" s="1">
        <f t="shared" si="15"/>
        <v>0.52964632416000001</v>
      </c>
      <c r="H324">
        <f t="shared" si="16"/>
        <v>0.47035367583999999</v>
      </c>
      <c r="I324">
        <f t="shared" si="17"/>
        <v>47.035367583999999</v>
      </c>
    </row>
    <row r="325" spans="1:9" x14ac:dyDescent="0.2">
      <c r="A325" s="1" t="s">
        <v>554</v>
      </c>
      <c r="B325" s="1" t="s">
        <v>555</v>
      </c>
      <c r="C325" s="1" t="s">
        <v>14</v>
      </c>
      <c r="D325" s="1" t="s">
        <v>15</v>
      </c>
      <c r="E325" s="1">
        <v>0.79652415099999996</v>
      </c>
      <c r="F325" s="1">
        <v>9.3829442999999998E-2</v>
      </c>
      <c r="G325" s="1">
        <f t="shared" si="15"/>
        <v>0.63927876063000011</v>
      </c>
      <c r="H325">
        <f t="shared" si="16"/>
        <v>0.36072123936999989</v>
      </c>
      <c r="I325">
        <f t="shared" si="17"/>
        <v>36.072123936999986</v>
      </c>
    </row>
    <row r="326" spans="1:9" x14ac:dyDescent="0.2">
      <c r="A326" s="1" t="s">
        <v>556</v>
      </c>
      <c r="B326" s="1" t="s">
        <v>557</v>
      </c>
      <c r="C326" s="1" t="s">
        <v>6</v>
      </c>
      <c r="D326" s="1" t="s">
        <v>7</v>
      </c>
      <c r="E326" s="1">
        <v>0.79512928599999999</v>
      </c>
      <c r="F326" s="1">
        <v>8.0347847999999999E-2</v>
      </c>
      <c r="G326" s="1">
        <f t="shared" si="15"/>
        <v>0.59888547768</v>
      </c>
      <c r="H326">
        <f t="shared" si="16"/>
        <v>0.40111452232</v>
      </c>
      <c r="I326">
        <f t="shared" si="17"/>
        <v>40.111452231999998</v>
      </c>
    </row>
    <row r="327" spans="1:9" x14ac:dyDescent="0.2">
      <c r="A327" s="1" t="s">
        <v>558</v>
      </c>
      <c r="B327" s="1" t="s">
        <v>559</v>
      </c>
      <c r="C327" s="1" t="s">
        <v>34</v>
      </c>
      <c r="D327" s="1" t="s">
        <v>35</v>
      </c>
      <c r="E327" s="1">
        <v>0.84922178999999998</v>
      </c>
      <c r="F327" s="1">
        <v>6.7598470999999993E-2</v>
      </c>
      <c r="G327" s="1">
        <f t="shared" si="15"/>
        <v>0.46759454587000004</v>
      </c>
      <c r="H327">
        <f t="shared" si="16"/>
        <v>0.53240545412999996</v>
      </c>
      <c r="I327">
        <f t="shared" si="17"/>
        <v>53.240545412999992</v>
      </c>
    </row>
    <row r="328" spans="1:9" x14ac:dyDescent="0.2">
      <c r="A328" s="1" t="s">
        <v>560</v>
      </c>
      <c r="B328" s="1" t="s">
        <v>561</v>
      </c>
      <c r="C328" s="1" t="s">
        <v>34</v>
      </c>
      <c r="D328" s="1" t="s">
        <v>35</v>
      </c>
      <c r="E328" s="1">
        <v>0.86123229499999998</v>
      </c>
      <c r="F328" s="1">
        <v>5.5032400000000002E-2</v>
      </c>
      <c r="G328" s="1">
        <f t="shared" si="15"/>
        <v>0.40758245240000002</v>
      </c>
      <c r="H328">
        <f t="shared" si="16"/>
        <v>0.59241754759999998</v>
      </c>
      <c r="I328">
        <f t="shared" si="17"/>
        <v>59.241754759999999</v>
      </c>
    </row>
    <row r="329" spans="1:9" x14ac:dyDescent="0.2">
      <c r="A329" s="1" t="s">
        <v>562</v>
      </c>
      <c r="B329" s="1" t="s">
        <v>563</v>
      </c>
      <c r="C329" s="1" t="s">
        <v>34</v>
      </c>
      <c r="D329" s="1" t="s">
        <v>35</v>
      </c>
      <c r="E329" s="1">
        <v>0.86409823900000005</v>
      </c>
      <c r="F329" s="1">
        <v>5.1719982999999997E-2</v>
      </c>
      <c r="G329" s="1">
        <f t="shared" si="15"/>
        <v>0.39226730458999992</v>
      </c>
      <c r="H329">
        <f t="shared" si="16"/>
        <v>0.60773269541000008</v>
      </c>
      <c r="I329">
        <f t="shared" si="17"/>
        <v>60.773269541000005</v>
      </c>
    </row>
    <row r="330" spans="1:9" x14ac:dyDescent="0.2">
      <c r="A330" s="1" t="s">
        <v>564</v>
      </c>
      <c r="B330" s="1" t="s">
        <v>565</v>
      </c>
      <c r="C330" s="1" t="s">
        <v>34</v>
      </c>
      <c r="D330" s="1" t="s">
        <v>35</v>
      </c>
      <c r="E330" s="1">
        <v>0.87332508799999997</v>
      </c>
      <c r="F330" s="1">
        <v>5.3136594000000002E-2</v>
      </c>
      <c r="G330" s="1">
        <f t="shared" si="15"/>
        <v>0.38125685514000007</v>
      </c>
      <c r="H330">
        <f t="shared" si="16"/>
        <v>0.61874314485999993</v>
      </c>
      <c r="I330">
        <f t="shared" si="17"/>
        <v>61.874314485999996</v>
      </c>
    </row>
    <row r="331" spans="1:9" x14ac:dyDescent="0.2">
      <c r="A331" s="1" t="s">
        <v>566</v>
      </c>
      <c r="B331" s="1" t="s">
        <v>567</v>
      </c>
      <c r="C331" s="1" t="s">
        <v>10</v>
      </c>
      <c r="D331" s="1" t="s">
        <v>11</v>
      </c>
      <c r="E331" s="1">
        <v>0.822025177</v>
      </c>
      <c r="F331" s="1">
        <v>7.0915497999999993E-2</v>
      </c>
      <c r="G331" s="1">
        <f t="shared" si="15"/>
        <v>0.52379983129999996</v>
      </c>
      <c r="H331">
        <f t="shared" si="16"/>
        <v>0.47620016870000004</v>
      </c>
      <c r="I331">
        <f t="shared" si="17"/>
        <v>47.620016870000001</v>
      </c>
    </row>
    <row r="332" spans="1:9" x14ac:dyDescent="0.2">
      <c r="A332" s="1" t="s">
        <v>568</v>
      </c>
      <c r="B332" s="1" t="s">
        <v>569</v>
      </c>
      <c r="C332" s="1" t="s">
        <v>18</v>
      </c>
      <c r="D332" s="1" t="s">
        <v>19</v>
      </c>
      <c r="E332" s="1">
        <v>0.798399945</v>
      </c>
      <c r="F332" s="1">
        <v>7.9244446999999996E-2</v>
      </c>
      <c r="G332" s="1">
        <f t="shared" si="15"/>
        <v>0.58989298939000001</v>
      </c>
      <c r="H332">
        <f t="shared" si="16"/>
        <v>0.41010701060999999</v>
      </c>
      <c r="I332">
        <f t="shared" si="17"/>
        <v>41.010701060999999</v>
      </c>
    </row>
    <row r="333" spans="1:9" x14ac:dyDescent="0.2">
      <c r="A333" s="1" t="s">
        <v>570</v>
      </c>
      <c r="B333" s="1" t="s">
        <v>571</v>
      </c>
      <c r="C333" s="1" t="s">
        <v>14</v>
      </c>
      <c r="D333" s="1" t="s">
        <v>15</v>
      </c>
      <c r="E333" s="1">
        <v>0.78575830999999996</v>
      </c>
      <c r="F333" s="1">
        <v>0.11020785499999999</v>
      </c>
      <c r="G333" s="1">
        <f t="shared" si="15"/>
        <v>0.70928493955000005</v>
      </c>
      <c r="H333">
        <f t="shared" si="16"/>
        <v>0.29071506044999995</v>
      </c>
      <c r="I333">
        <f t="shared" si="17"/>
        <v>29.071506044999996</v>
      </c>
    </row>
    <row r="334" spans="1:9" x14ac:dyDescent="0.2">
      <c r="A334" s="1" t="s">
        <v>572</v>
      </c>
      <c r="B334" s="1" t="s">
        <v>573</v>
      </c>
      <c r="C334" s="1" t="s">
        <v>14</v>
      </c>
      <c r="D334" s="1" t="s">
        <v>15</v>
      </c>
      <c r="E334" s="1">
        <v>0.785224696</v>
      </c>
      <c r="F334" s="1">
        <v>0.111078081</v>
      </c>
      <c r="G334" s="1">
        <f t="shared" si="15"/>
        <v>0.71294002748999996</v>
      </c>
      <c r="H334">
        <f t="shared" si="16"/>
        <v>0.28705997251000004</v>
      </c>
      <c r="I334">
        <f t="shared" si="17"/>
        <v>28.705997251000003</v>
      </c>
    </row>
    <row r="335" spans="1:9" x14ac:dyDescent="0.2">
      <c r="A335" s="1" t="s">
        <v>574</v>
      </c>
      <c r="B335" s="1" t="s">
        <v>575</v>
      </c>
      <c r="C335" s="1" t="s">
        <v>14</v>
      </c>
      <c r="D335" s="1" t="s">
        <v>15</v>
      </c>
      <c r="E335" s="1">
        <v>0.76044888200000005</v>
      </c>
      <c r="F335" s="1">
        <v>0.12881309299999999</v>
      </c>
      <c r="G335" s="1">
        <f t="shared" si="15"/>
        <v>0.81078338304999986</v>
      </c>
      <c r="H335">
        <f t="shared" si="16"/>
        <v>0.18921661695000014</v>
      </c>
      <c r="I335">
        <f t="shared" si="17"/>
        <v>18.921661695000015</v>
      </c>
    </row>
    <row r="336" spans="1:9" x14ac:dyDescent="0.2">
      <c r="A336" s="1" t="s">
        <v>576</v>
      </c>
      <c r="B336" s="1" t="s">
        <v>577</v>
      </c>
      <c r="C336" s="1" t="s">
        <v>14</v>
      </c>
      <c r="D336" s="1" t="s">
        <v>15</v>
      </c>
      <c r="E336" s="1">
        <v>0.80791878800000005</v>
      </c>
      <c r="F336" s="1">
        <v>8.9719008000000003E-2</v>
      </c>
      <c r="G336" s="1">
        <f t="shared" si="15"/>
        <v>0.60710569151999993</v>
      </c>
      <c r="H336">
        <f t="shared" si="16"/>
        <v>0.39289430848000007</v>
      </c>
      <c r="I336">
        <f t="shared" si="17"/>
        <v>39.289430848000009</v>
      </c>
    </row>
    <row r="337" spans="1:9" x14ac:dyDescent="0.2">
      <c r="A337" s="1" t="s">
        <v>578</v>
      </c>
      <c r="B337" s="1" t="s">
        <v>579</v>
      </c>
      <c r="C337" s="1" t="s">
        <v>14</v>
      </c>
      <c r="D337" s="1" t="s">
        <v>15</v>
      </c>
      <c r="E337" s="1">
        <v>0.77296880599999995</v>
      </c>
      <c r="F337" s="1">
        <v>0.12250372599999999</v>
      </c>
      <c r="G337" s="1">
        <f t="shared" si="15"/>
        <v>0.76974921734000001</v>
      </c>
      <c r="H337">
        <f t="shared" si="16"/>
        <v>0.23025078265999999</v>
      </c>
      <c r="I337">
        <f t="shared" si="17"/>
        <v>23.025078265999998</v>
      </c>
    </row>
    <row r="338" spans="1:9" x14ac:dyDescent="0.2">
      <c r="A338" s="1" t="s">
        <v>1256</v>
      </c>
      <c r="B338" s="1" t="s">
        <v>1257</v>
      </c>
      <c r="C338" s="1" t="s">
        <v>1176</v>
      </c>
      <c r="D338" s="1" t="s">
        <v>1177</v>
      </c>
      <c r="E338" s="1">
        <v>0.75686389700000001</v>
      </c>
      <c r="F338" s="1">
        <v>0.107610238</v>
      </c>
      <c r="G338" s="1">
        <f t="shared" si="15"/>
        <v>0.74959310749999997</v>
      </c>
      <c r="H338">
        <f t="shared" si="16"/>
        <v>0.25040689250000003</v>
      </c>
      <c r="I338">
        <f t="shared" si="17"/>
        <v>25.040689250000003</v>
      </c>
    </row>
    <row r="339" spans="1:9" x14ac:dyDescent="0.2">
      <c r="A339" s="1" t="s">
        <v>1144</v>
      </c>
      <c r="B339" s="1" t="s">
        <v>1145</v>
      </c>
      <c r="C339" s="1" t="s">
        <v>1110</v>
      </c>
      <c r="D339" s="1" t="s">
        <v>1111</v>
      </c>
      <c r="E339" s="1">
        <v>0.76249361999999998</v>
      </c>
      <c r="F339" s="1">
        <v>0.121097737</v>
      </c>
      <c r="G339" s="1">
        <f t="shared" si="15"/>
        <v>0.78289054469000008</v>
      </c>
      <c r="H339">
        <f t="shared" si="16"/>
        <v>0.21710945530999992</v>
      </c>
      <c r="I339">
        <f t="shared" si="17"/>
        <v>21.710945530999993</v>
      </c>
    </row>
    <row r="340" spans="1:9" x14ac:dyDescent="0.2">
      <c r="A340" s="1" t="s">
        <v>1258</v>
      </c>
      <c r="B340" s="1" t="s">
        <v>1259</v>
      </c>
      <c r="C340" s="1" t="s">
        <v>1176</v>
      </c>
      <c r="D340" s="1" t="s">
        <v>1177</v>
      </c>
      <c r="E340" s="1">
        <v>0.77757509300000005</v>
      </c>
      <c r="F340" s="1">
        <v>9.1105668000000001E-2</v>
      </c>
      <c r="G340" s="1">
        <f t="shared" si="15"/>
        <v>0.66247881131999997</v>
      </c>
      <c r="H340">
        <f t="shared" si="16"/>
        <v>0.33752118868000003</v>
      </c>
      <c r="I340">
        <f t="shared" si="17"/>
        <v>33.752118868000004</v>
      </c>
    </row>
    <row r="341" spans="1:9" x14ac:dyDescent="0.2">
      <c r="A341" s="1" t="s">
        <v>580</v>
      </c>
      <c r="B341" s="1" t="s">
        <v>581</v>
      </c>
      <c r="C341" s="1" t="s">
        <v>18</v>
      </c>
      <c r="D341" s="1" t="s">
        <v>19</v>
      </c>
      <c r="E341" s="1">
        <v>0.83286009299999997</v>
      </c>
      <c r="F341" s="1">
        <v>6.3748461000000006E-2</v>
      </c>
      <c r="G341" s="1">
        <f t="shared" si="15"/>
        <v>0.48287766513000008</v>
      </c>
      <c r="H341">
        <f t="shared" si="16"/>
        <v>0.51712233486999992</v>
      </c>
      <c r="I341">
        <f t="shared" si="17"/>
        <v>51.712233486999992</v>
      </c>
    </row>
    <row r="342" spans="1:9" x14ac:dyDescent="0.2">
      <c r="A342" s="1" t="s">
        <v>582</v>
      </c>
      <c r="B342" s="1" t="s">
        <v>583</v>
      </c>
      <c r="C342" s="1" t="s">
        <v>18</v>
      </c>
      <c r="D342" s="1" t="s">
        <v>19</v>
      </c>
      <c r="E342" s="1">
        <v>0.75903651900000002</v>
      </c>
      <c r="F342" s="1">
        <v>0.10698906900000001</v>
      </c>
      <c r="G342" s="1">
        <f t="shared" si="15"/>
        <v>0.74397399680999998</v>
      </c>
      <c r="H342">
        <f t="shared" si="16"/>
        <v>0.25602600319000002</v>
      </c>
      <c r="I342">
        <f t="shared" si="17"/>
        <v>25.602600319</v>
      </c>
    </row>
    <row r="343" spans="1:9" x14ac:dyDescent="0.2">
      <c r="A343" s="1" t="s">
        <v>584</v>
      </c>
      <c r="B343" s="1" t="s">
        <v>585</v>
      </c>
      <c r="C343" s="1" t="s">
        <v>46</v>
      </c>
      <c r="D343" s="1" t="s">
        <v>47</v>
      </c>
      <c r="E343" s="1">
        <v>0.77084082499999995</v>
      </c>
      <c r="F343" s="1">
        <v>0.100793231</v>
      </c>
      <c r="G343" s="1">
        <f t="shared" si="15"/>
        <v>0.70450195627000012</v>
      </c>
      <c r="H343">
        <f t="shared" si="16"/>
        <v>0.29549804372999988</v>
      </c>
      <c r="I343">
        <f t="shared" si="17"/>
        <v>29.549804372999986</v>
      </c>
    </row>
    <row r="344" spans="1:9" x14ac:dyDescent="0.2">
      <c r="A344" s="1" t="s">
        <v>586</v>
      </c>
      <c r="B344" s="1" t="s">
        <v>587</v>
      </c>
      <c r="C344" s="1" t="s">
        <v>46</v>
      </c>
      <c r="D344" s="1" t="s">
        <v>47</v>
      </c>
      <c r="E344" s="1">
        <v>0.85626787100000001</v>
      </c>
      <c r="F344" s="1">
        <v>6.4687232999999997E-2</v>
      </c>
      <c r="G344" s="1">
        <f t="shared" si="15"/>
        <v>0.44652850532999999</v>
      </c>
      <c r="H344">
        <f t="shared" si="16"/>
        <v>0.55347149467000001</v>
      </c>
      <c r="I344">
        <f t="shared" si="17"/>
        <v>55.347149467000001</v>
      </c>
    </row>
    <row r="345" spans="1:9" x14ac:dyDescent="0.2">
      <c r="A345" s="1" t="s">
        <v>588</v>
      </c>
      <c r="B345" s="1" t="s">
        <v>589</v>
      </c>
      <c r="C345" s="1" t="s">
        <v>46</v>
      </c>
      <c r="D345" s="1" t="s">
        <v>47</v>
      </c>
      <c r="E345" s="1">
        <v>0.86603238900000001</v>
      </c>
      <c r="F345" s="1">
        <v>5.8923076999999997E-2</v>
      </c>
      <c r="G345" s="1">
        <f t="shared" si="15"/>
        <v>0.41185174056999996</v>
      </c>
      <c r="H345">
        <f t="shared" si="16"/>
        <v>0.58814825943000004</v>
      </c>
      <c r="I345">
        <f t="shared" si="17"/>
        <v>58.814825943000002</v>
      </c>
    </row>
    <row r="346" spans="1:9" x14ac:dyDescent="0.2">
      <c r="A346" s="1" t="s">
        <v>590</v>
      </c>
      <c r="B346" s="1" t="s">
        <v>591</v>
      </c>
      <c r="C346" s="1" t="s">
        <v>14</v>
      </c>
      <c r="D346" s="1" t="s">
        <v>15</v>
      </c>
      <c r="E346" s="1">
        <v>0.82550146000000002</v>
      </c>
      <c r="F346" s="1">
        <v>6.8357556E-2</v>
      </c>
      <c r="G346" s="1">
        <f t="shared" si="15"/>
        <v>0.50985099972000003</v>
      </c>
      <c r="H346">
        <f t="shared" si="16"/>
        <v>0.49014900027999997</v>
      </c>
      <c r="I346">
        <f t="shared" si="17"/>
        <v>49.014900028</v>
      </c>
    </row>
    <row r="347" spans="1:9" x14ac:dyDescent="0.2">
      <c r="A347" s="1" t="s">
        <v>592</v>
      </c>
      <c r="B347" s="1" t="s">
        <v>593</v>
      </c>
      <c r="C347" s="1" t="s">
        <v>6</v>
      </c>
      <c r="D347" s="1" t="s">
        <v>7</v>
      </c>
      <c r="E347" s="1">
        <v>0.87856861799999997</v>
      </c>
      <c r="F347" s="1">
        <v>4.5131325E-2</v>
      </c>
      <c r="G347" s="1">
        <f t="shared" si="15"/>
        <v>0.34707102201000006</v>
      </c>
      <c r="H347">
        <f t="shared" si="16"/>
        <v>0.65292897798999994</v>
      </c>
      <c r="I347">
        <f t="shared" si="17"/>
        <v>65.292897798999988</v>
      </c>
    </row>
    <row r="348" spans="1:9" x14ac:dyDescent="0.2">
      <c r="A348" s="1" t="s">
        <v>594</v>
      </c>
      <c r="B348" s="1" t="s">
        <v>595</v>
      </c>
      <c r="C348" s="1" t="s">
        <v>6</v>
      </c>
      <c r="D348" s="1" t="s">
        <v>7</v>
      </c>
      <c r="E348" s="1">
        <v>0.84633135100000001</v>
      </c>
      <c r="F348" s="1">
        <v>6.0134408E-2</v>
      </c>
      <c r="G348" s="1">
        <f t="shared" si="15"/>
        <v>0.44878940367999998</v>
      </c>
      <c r="H348">
        <f t="shared" si="16"/>
        <v>0.55121059632000002</v>
      </c>
      <c r="I348">
        <f t="shared" si="17"/>
        <v>55.121059632000005</v>
      </c>
    </row>
    <row r="349" spans="1:9" x14ac:dyDescent="0.2">
      <c r="A349" s="1" t="s">
        <v>596</v>
      </c>
      <c r="B349" s="1" t="s">
        <v>597</v>
      </c>
      <c r="C349" s="1" t="s">
        <v>14</v>
      </c>
      <c r="D349" s="1" t="s">
        <v>15</v>
      </c>
      <c r="E349" s="1">
        <v>0.80121754999999995</v>
      </c>
      <c r="F349" s="1">
        <v>9.1985109999999995E-2</v>
      </c>
      <c r="G349" s="1">
        <f t="shared" si="15"/>
        <v>0.62554731470000013</v>
      </c>
      <c r="H349">
        <f t="shared" si="16"/>
        <v>0.37445268529999987</v>
      </c>
      <c r="I349">
        <f t="shared" si="17"/>
        <v>37.445268529999986</v>
      </c>
    </row>
    <row r="350" spans="1:9" x14ac:dyDescent="0.2">
      <c r="A350" s="1" t="s">
        <v>598</v>
      </c>
      <c r="B350" s="1" t="s">
        <v>599</v>
      </c>
      <c r="C350" s="1" t="s">
        <v>46</v>
      </c>
      <c r="D350" s="1" t="s">
        <v>47</v>
      </c>
      <c r="E350" s="1">
        <v>0.83792110099999995</v>
      </c>
      <c r="F350" s="1">
        <v>6.2945107E-2</v>
      </c>
      <c r="G350" s="1">
        <f t="shared" si="15"/>
        <v>0.47182853951000009</v>
      </c>
      <c r="H350">
        <f t="shared" si="16"/>
        <v>0.52817146048999986</v>
      </c>
      <c r="I350">
        <f t="shared" si="17"/>
        <v>52.817146048999987</v>
      </c>
    </row>
    <row r="351" spans="1:9" x14ac:dyDescent="0.2">
      <c r="A351" s="1" t="s">
        <v>600</v>
      </c>
      <c r="B351" s="1" t="s">
        <v>601</v>
      </c>
      <c r="C351" s="1" t="s">
        <v>14</v>
      </c>
      <c r="D351" s="1" t="s">
        <v>15</v>
      </c>
      <c r="E351" s="1">
        <v>0.83404265700000002</v>
      </c>
      <c r="F351" s="1">
        <v>7.6827565E-2</v>
      </c>
      <c r="G351" s="1">
        <f t="shared" si="15"/>
        <v>0.52235171728999996</v>
      </c>
      <c r="H351">
        <f t="shared" si="16"/>
        <v>0.47764828271000004</v>
      </c>
      <c r="I351">
        <f t="shared" si="17"/>
        <v>47.764828271000006</v>
      </c>
    </row>
    <row r="352" spans="1:9" x14ac:dyDescent="0.2">
      <c r="A352" s="1" t="s">
        <v>602</v>
      </c>
      <c r="B352" s="1" t="s">
        <v>603</v>
      </c>
      <c r="C352" s="1" t="s">
        <v>14</v>
      </c>
      <c r="D352" s="1" t="s">
        <v>15</v>
      </c>
      <c r="E352" s="1">
        <v>0.83990891199999995</v>
      </c>
      <c r="F352" s="1">
        <v>6.6228696000000004E-2</v>
      </c>
      <c r="G352" s="1">
        <f t="shared" si="15"/>
        <v>0.47889799416000012</v>
      </c>
      <c r="H352">
        <f t="shared" si="16"/>
        <v>0.52110200583999988</v>
      </c>
      <c r="I352">
        <f t="shared" si="17"/>
        <v>52.11020058399999</v>
      </c>
    </row>
    <row r="353" spans="1:9" x14ac:dyDescent="0.2">
      <c r="A353" s="1" t="s">
        <v>604</v>
      </c>
      <c r="B353" s="1" t="s">
        <v>605</v>
      </c>
      <c r="C353" s="1" t="s">
        <v>14</v>
      </c>
      <c r="D353" s="1" t="s">
        <v>15</v>
      </c>
      <c r="E353" s="1">
        <v>0.83983302199999998</v>
      </c>
      <c r="F353" s="1">
        <v>6.3352741000000004E-2</v>
      </c>
      <c r="G353" s="1">
        <f t="shared" si="15"/>
        <v>0.46990871201000006</v>
      </c>
      <c r="H353">
        <f t="shared" si="16"/>
        <v>0.53009128798999994</v>
      </c>
      <c r="I353">
        <f t="shared" si="17"/>
        <v>53.009128798999996</v>
      </c>
    </row>
    <row r="354" spans="1:9" x14ac:dyDescent="0.2">
      <c r="A354" s="1" t="s">
        <v>606</v>
      </c>
      <c r="B354" s="1" t="s">
        <v>607</v>
      </c>
      <c r="C354" s="1" t="s">
        <v>18</v>
      </c>
      <c r="D354" s="1" t="s">
        <v>19</v>
      </c>
      <c r="E354" s="1">
        <v>0.77879786200000001</v>
      </c>
      <c r="F354" s="1">
        <v>0.10294410800000001</v>
      </c>
      <c r="G354" s="1">
        <f t="shared" si="15"/>
        <v>0.69795241419999998</v>
      </c>
      <c r="H354">
        <f t="shared" si="16"/>
        <v>0.30204758580000002</v>
      </c>
      <c r="I354">
        <f t="shared" si="17"/>
        <v>30.204758580000004</v>
      </c>
    </row>
    <row r="355" spans="1:9" x14ac:dyDescent="0.2">
      <c r="A355" s="1" t="s">
        <v>608</v>
      </c>
      <c r="B355" s="1" t="s">
        <v>609</v>
      </c>
      <c r="C355" s="1" t="s">
        <v>54</v>
      </c>
      <c r="D355" s="1" t="s">
        <v>55</v>
      </c>
      <c r="E355" s="1">
        <v>0.82062838000000005</v>
      </c>
      <c r="F355" s="1">
        <v>6.6765387999999995E-2</v>
      </c>
      <c r="G355" s="1">
        <f t="shared" si="15"/>
        <v>0.51299060155999987</v>
      </c>
      <c r="H355">
        <f t="shared" si="16"/>
        <v>0.48700939844000013</v>
      </c>
      <c r="I355">
        <f t="shared" si="17"/>
        <v>48.700939844000011</v>
      </c>
    </row>
    <row r="356" spans="1:9" x14ac:dyDescent="0.2">
      <c r="A356" s="1" t="s">
        <v>610</v>
      </c>
      <c r="B356" s="1" t="s">
        <v>611</v>
      </c>
      <c r="C356" s="1" t="s">
        <v>18</v>
      </c>
      <c r="D356" s="1" t="s">
        <v>19</v>
      </c>
      <c r="E356" s="1">
        <v>0.83200678299999997</v>
      </c>
      <c r="F356" s="1">
        <v>6.3494250000000002E-2</v>
      </c>
      <c r="G356" s="1">
        <f t="shared" si="15"/>
        <v>0.48350537706000007</v>
      </c>
      <c r="H356">
        <f t="shared" si="16"/>
        <v>0.51649462293999993</v>
      </c>
      <c r="I356">
        <f t="shared" si="17"/>
        <v>51.649462293999996</v>
      </c>
    </row>
    <row r="357" spans="1:9" x14ac:dyDescent="0.2">
      <c r="A357" s="1" t="s">
        <v>612</v>
      </c>
      <c r="B357" s="1" t="s">
        <v>613</v>
      </c>
      <c r="C357" s="1" t="s">
        <v>10</v>
      </c>
      <c r="D357" s="1" t="s">
        <v>11</v>
      </c>
      <c r="E357" s="1">
        <v>0.81919943699999997</v>
      </c>
      <c r="F357" s="1">
        <v>7.6717288999999994E-2</v>
      </c>
      <c r="G357" s="1">
        <f t="shared" si="15"/>
        <v>0.54693875196999997</v>
      </c>
      <c r="H357">
        <f t="shared" si="16"/>
        <v>0.45306124803000003</v>
      </c>
      <c r="I357">
        <f t="shared" si="17"/>
        <v>45.306124803000003</v>
      </c>
    </row>
    <row r="358" spans="1:9" x14ac:dyDescent="0.2">
      <c r="A358" s="1" t="s">
        <v>1146</v>
      </c>
      <c r="B358" s="1" t="s">
        <v>1147</v>
      </c>
      <c r="C358" s="1" t="s">
        <v>1110</v>
      </c>
      <c r="D358" s="1" t="s">
        <v>1111</v>
      </c>
      <c r="E358" s="1">
        <v>0.75494721600000003</v>
      </c>
      <c r="F358" s="1">
        <v>0.130323526</v>
      </c>
      <c r="G358" s="1">
        <f t="shared" si="15"/>
        <v>0.8248142545399999</v>
      </c>
      <c r="H358">
        <f t="shared" si="16"/>
        <v>0.1751857454600001</v>
      </c>
      <c r="I358">
        <f t="shared" si="17"/>
        <v>17.518574546000011</v>
      </c>
    </row>
    <row r="359" spans="1:9" x14ac:dyDescent="0.2">
      <c r="A359" s="1" t="s">
        <v>1148</v>
      </c>
      <c r="B359" s="1" t="s">
        <v>1149</v>
      </c>
      <c r="C359" s="1" t="s">
        <v>1110</v>
      </c>
      <c r="D359" s="1" t="s">
        <v>1111</v>
      </c>
      <c r="E359" s="1">
        <v>0.77655572500000003</v>
      </c>
      <c r="F359" s="1">
        <v>0.104242976</v>
      </c>
      <c r="G359" s="1">
        <f t="shared" si="15"/>
        <v>0.70583661592000002</v>
      </c>
      <c r="H359">
        <f t="shared" si="16"/>
        <v>0.29416338407999998</v>
      </c>
      <c r="I359">
        <f t="shared" si="17"/>
        <v>29.416338407999998</v>
      </c>
    </row>
    <row r="360" spans="1:9" x14ac:dyDescent="0.2">
      <c r="A360" s="1" t="s">
        <v>614</v>
      </c>
      <c r="B360" s="1" t="s">
        <v>615</v>
      </c>
      <c r="C360" s="1" t="s">
        <v>46</v>
      </c>
      <c r="D360" s="1" t="s">
        <v>47</v>
      </c>
      <c r="E360" s="1">
        <v>0.86044247299999999</v>
      </c>
      <c r="F360" s="1">
        <v>5.0149565E-2</v>
      </c>
      <c r="G360" s="1">
        <f t="shared" si="15"/>
        <v>0.39343076641000002</v>
      </c>
      <c r="H360">
        <f t="shared" si="16"/>
        <v>0.60656923358999992</v>
      </c>
      <c r="I360">
        <f t="shared" si="17"/>
        <v>60.65692335899999</v>
      </c>
    </row>
    <row r="361" spans="1:9" x14ac:dyDescent="0.2">
      <c r="A361" s="1" t="s">
        <v>616</v>
      </c>
      <c r="B361" s="1" t="s">
        <v>617</v>
      </c>
      <c r="C361" s="1" t="s">
        <v>6</v>
      </c>
      <c r="D361" s="1" t="s">
        <v>7</v>
      </c>
      <c r="E361" s="1">
        <v>0.86723519100000002</v>
      </c>
      <c r="F361" s="1">
        <v>4.4551469000000003E-2</v>
      </c>
      <c r="G361" s="1">
        <f t="shared" si="15"/>
        <v>0.36427303584999993</v>
      </c>
      <c r="H361">
        <f t="shared" si="16"/>
        <v>0.63572696415000007</v>
      </c>
      <c r="I361">
        <f t="shared" si="17"/>
        <v>63.57269641500001</v>
      </c>
    </row>
    <row r="362" spans="1:9" x14ac:dyDescent="0.2">
      <c r="A362" s="1" t="s">
        <v>618</v>
      </c>
      <c r="B362" s="1" t="s">
        <v>619</v>
      </c>
      <c r="C362" s="1" t="s">
        <v>14</v>
      </c>
      <c r="D362" s="1" t="s">
        <v>15</v>
      </c>
      <c r="E362" s="1">
        <v>0.81480733900000002</v>
      </c>
      <c r="F362" s="1">
        <v>7.7723125000000004E-2</v>
      </c>
      <c r="G362" s="1">
        <f t="shared" si="15"/>
        <v>0.55750597672999991</v>
      </c>
      <c r="H362">
        <f t="shared" si="16"/>
        <v>0.44249402327000009</v>
      </c>
      <c r="I362">
        <f t="shared" si="17"/>
        <v>44.249402327000013</v>
      </c>
    </row>
    <row r="363" spans="1:9" x14ac:dyDescent="0.2">
      <c r="A363" s="1" t="s">
        <v>620</v>
      </c>
      <c r="B363" s="1" t="s">
        <v>621</v>
      </c>
      <c r="C363" s="1" t="s">
        <v>18</v>
      </c>
      <c r="D363" s="1" t="s">
        <v>19</v>
      </c>
      <c r="E363" s="1">
        <v>0.82223990000000002</v>
      </c>
      <c r="F363" s="1">
        <v>6.9026648999999995E-2</v>
      </c>
      <c r="G363" s="1">
        <f t="shared" si="15"/>
        <v>0.51745144532999987</v>
      </c>
      <c r="H363">
        <f t="shared" si="16"/>
        <v>0.48254855467000013</v>
      </c>
      <c r="I363">
        <f t="shared" si="17"/>
        <v>48.254855467000013</v>
      </c>
    </row>
    <row r="364" spans="1:9" x14ac:dyDescent="0.2">
      <c r="A364" s="1" t="s">
        <v>622</v>
      </c>
      <c r="B364" s="1" t="s">
        <v>623</v>
      </c>
      <c r="C364" s="1" t="s">
        <v>54</v>
      </c>
      <c r="D364" s="1" t="s">
        <v>55</v>
      </c>
      <c r="E364" s="1">
        <v>0.82460510099999995</v>
      </c>
      <c r="F364" s="1">
        <v>6.5306722999999997E-2</v>
      </c>
      <c r="G364" s="1">
        <f t="shared" si="15"/>
        <v>0.50168574223000006</v>
      </c>
      <c r="H364">
        <f t="shared" si="16"/>
        <v>0.49831425776999994</v>
      </c>
      <c r="I364">
        <f t="shared" si="17"/>
        <v>49.831425776999993</v>
      </c>
    </row>
    <row r="365" spans="1:9" x14ac:dyDescent="0.2">
      <c r="A365" s="1" t="s">
        <v>1260</v>
      </c>
      <c r="B365" s="1" t="s">
        <v>1261</v>
      </c>
      <c r="C365" s="1" t="s">
        <v>1176</v>
      </c>
      <c r="D365" s="1" t="s">
        <v>1177</v>
      </c>
      <c r="E365" s="1">
        <v>0.79412011400000004</v>
      </c>
      <c r="F365" s="1">
        <v>8.6510233000000006E-2</v>
      </c>
      <c r="G365" s="1">
        <f t="shared" si="15"/>
        <v>0.62011564708999989</v>
      </c>
      <c r="H365">
        <f t="shared" si="16"/>
        <v>0.37988435291000011</v>
      </c>
      <c r="I365">
        <f t="shared" si="17"/>
        <v>37.988435291000009</v>
      </c>
    </row>
    <row r="366" spans="1:9" x14ac:dyDescent="0.2">
      <c r="A366" s="1" t="s">
        <v>624</v>
      </c>
      <c r="B366" s="1" t="s">
        <v>625</v>
      </c>
      <c r="C366" s="1" t="s">
        <v>18</v>
      </c>
      <c r="D366" s="1" t="s">
        <v>19</v>
      </c>
      <c r="E366" s="1">
        <v>0.84381149200000005</v>
      </c>
      <c r="F366" s="1">
        <v>5.9897678000000003E-2</v>
      </c>
      <c r="G366" s="1">
        <f t="shared" si="15"/>
        <v>0.45227233269999989</v>
      </c>
      <c r="H366">
        <f t="shared" si="16"/>
        <v>0.54772766730000011</v>
      </c>
      <c r="I366">
        <f t="shared" si="17"/>
        <v>54.772766730000008</v>
      </c>
    </row>
    <row r="367" spans="1:9" x14ac:dyDescent="0.2">
      <c r="A367" s="1" t="s">
        <v>626</v>
      </c>
      <c r="B367" s="1" t="s">
        <v>627</v>
      </c>
      <c r="C367" s="1" t="s">
        <v>46</v>
      </c>
      <c r="D367" s="1" t="s">
        <v>47</v>
      </c>
      <c r="E367" s="1">
        <v>0.80211051600000005</v>
      </c>
      <c r="F367" s="1">
        <v>7.9503040999999997E-2</v>
      </c>
      <c r="G367" s="1">
        <f t="shared" si="15"/>
        <v>0.58447897308999985</v>
      </c>
      <c r="H367">
        <f t="shared" si="16"/>
        <v>0.41552102691000015</v>
      </c>
      <c r="I367">
        <f t="shared" si="17"/>
        <v>41.552102691000016</v>
      </c>
    </row>
    <row r="368" spans="1:9" x14ac:dyDescent="0.2">
      <c r="A368" s="1" t="s">
        <v>628</v>
      </c>
      <c r="B368" s="1" t="s">
        <v>629</v>
      </c>
      <c r="C368" s="1" t="s">
        <v>6</v>
      </c>
      <c r="D368" s="1" t="s">
        <v>7</v>
      </c>
      <c r="E368" s="1">
        <v>0.85318807299999999</v>
      </c>
      <c r="F368" s="1">
        <v>5.2917741999999997E-2</v>
      </c>
      <c r="G368" s="1">
        <f t="shared" si="15"/>
        <v>0.41439327949999999</v>
      </c>
      <c r="H368">
        <f t="shared" si="16"/>
        <v>0.58560672049999996</v>
      </c>
      <c r="I368">
        <f t="shared" si="17"/>
        <v>58.560672049999994</v>
      </c>
    </row>
    <row r="369" spans="1:9" x14ac:dyDescent="0.2">
      <c r="A369" s="1" t="s">
        <v>630</v>
      </c>
      <c r="B369" s="1" t="s">
        <v>631</v>
      </c>
      <c r="C369" s="1" t="s">
        <v>98</v>
      </c>
      <c r="D369" s="1" t="s">
        <v>99</v>
      </c>
      <c r="E369" s="1">
        <v>0.78964244299999997</v>
      </c>
      <c r="F369" s="1">
        <v>0.103018709</v>
      </c>
      <c r="G369" s="1">
        <f t="shared" si="15"/>
        <v>0.67997000329000001</v>
      </c>
      <c r="H369">
        <f t="shared" si="16"/>
        <v>0.32002999670999999</v>
      </c>
      <c r="I369">
        <f t="shared" si="17"/>
        <v>32.002999670999998</v>
      </c>
    </row>
    <row r="370" spans="1:9" x14ac:dyDescent="0.2">
      <c r="A370" s="1" t="s">
        <v>632</v>
      </c>
      <c r="B370" s="1" t="s">
        <v>633</v>
      </c>
      <c r="C370" s="1" t="s">
        <v>98</v>
      </c>
      <c r="D370" s="1" t="s">
        <v>99</v>
      </c>
      <c r="E370" s="1">
        <v>0.78881927100000004</v>
      </c>
      <c r="F370" s="1">
        <v>9.9698080999999994E-2</v>
      </c>
      <c r="G370" s="1">
        <f t="shared" si="15"/>
        <v>0.67082654148999987</v>
      </c>
      <c r="H370">
        <f t="shared" si="16"/>
        <v>0.32917345851000013</v>
      </c>
      <c r="I370">
        <f t="shared" si="17"/>
        <v>32.917345851000015</v>
      </c>
    </row>
    <row r="371" spans="1:9" x14ac:dyDescent="0.2">
      <c r="A371" s="1" t="s">
        <v>1180</v>
      </c>
      <c r="B371" s="1" t="s">
        <v>1181</v>
      </c>
      <c r="C371" s="1" t="s">
        <v>1176</v>
      </c>
      <c r="D371" s="1" t="s">
        <v>1177</v>
      </c>
      <c r="E371" s="1">
        <v>0.771939457</v>
      </c>
      <c r="F371" s="1">
        <v>9.7195603000000005E-2</v>
      </c>
      <c r="G371" s="1">
        <f t="shared" si="15"/>
        <v>0.69125177375000002</v>
      </c>
      <c r="H371">
        <f t="shared" si="16"/>
        <v>0.30874822624999998</v>
      </c>
      <c r="I371">
        <f t="shared" si="17"/>
        <v>30.874822624999997</v>
      </c>
    </row>
    <row r="372" spans="1:9" x14ac:dyDescent="0.2">
      <c r="A372" s="1" t="s">
        <v>634</v>
      </c>
      <c r="B372" s="1" t="s">
        <v>635</v>
      </c>
      <c r="C372" s="1" t="s">
        <v>6</v>
      </c>
      <c r="D372" s="1" t="s">
        <v>7</v>
      </c>
      <c r="E372" s="1">
        <v>0.86122591699999995</v>
      </c>
      <c r="F372" s="1">
        <v>5.6010364E-2</v>
      </c>
      <c r="G372" s="1">
        <f t="shared" si="15"/>
        <v>0.41069331332000003</v>
      </c>
      <c r="H372">
        <f t="shared" si="16"/>
        <v>0.58930668667999997</v>
      </c>
      <c r="I372">
        <f t="shared" si="17"/>
        <v>58.930668667999996</v>
      </c>
    </row>
    <row r="373" spans="1:9" x14ac:dyDescent="0.2">
      <c r="A373" s="1" t="s">
        <v>636</v>
      </c>
      <c r="B373" s="1" t="s">
        <v>637</v>
      </c>
      <c r="C373" s="1" t="s">
        <v>6</v>
      </c>
      <c r="D373" s="1" t="s">
        <v>7</v>
      </c>
      <c r="E373" s="1">
        <v>0.84283448100000002</v>
      </c>
      <c r="F373" s="1">
        <v>6.1424469000000002E-2</v>
      </c>
      <c r="G373" s="1">
        <f t="shared" si="15"/>
        <v>0.45875363864999996</v>
      </c>
      <c r="H373">
        <f t="shared" si="16"/>
        <v>0.54124636135000004</v>
      </c>
      <c r="I373">
        <f t="shared" si="17"/>
        <v>54.124636135000003</v>
      </c>
    </row>
    <row r="374" spans="1:9" x14ac:dyDescent="0.2">
      <c r="A374" s="1" t="s">
        <v>638</v>
      </c>
      <c r="B374" s="1" t="s">
        <v>639</v>
      </c>
      <c r="C374" s="1" t="s">
        <v>34</v>
      </c>
      <c r="D374" s="1" t="s">
        <v>35</v>
      </c>
      <c r="E374" s="1">
        <v>0.86871576100000003</v>
      </c>
      <c r="F374" s="1">
        <v>5.6245050999999997E-2</v>
      </c>
      <c r="G374" s="1">
        <f t="shared" si="15"/>
        <v>0.39885433318999997</v>
      </c>
      <c r="H374">
        <f t="shared" si="16"/>
        <v>0.60114566681000003</v>
      </c>
      <c r="I374">
        <f t="shared" si="17"/>
        <v>60.114566681000007</v>
      </c>
    </row>
    <row r="375" spans="1:9" x14ac:dyDescent="0.2">
      <c r="A375" s="1" t="s">
        <v>1150</v>
      </c>
      <c r="B375" s="1" t="s">
        <v>1151</v>
      </c>
      <c r="C375" s="1" t="s">
        <v>1110</v>
      </c>
      <c r="D375" s="1" t="s">
        <v>1111</v>
      </c>
      <c r="E375" s="1">
        <v>0.80658799199999998</v>
      </c>
      <c r="F375" s="1">
        <v>8.2489752999999999E-2</v>
      </c>
      <c r="G375" s="1">
        <f t="shared" si="15"/>
        <v>0.58642469045000001</v>
      </c>
      <c r="H375">
        <f t="shared" si="16"/>
        <v>0.41357530954999999</v>
      </c>
      <c r="I375">
        <f t="shared" si="17"/>
        <v>41.357530955000001</v>
      </c>
    </row>
    <row r="376" spans="1:9" x14ac:dyDescent="0.2">
      <c r="A376" s="1" t="s">
        <v>1152</v>
      </c>
      <c r="B376" s="1" t="s">
        <v>1153</v>
      </c>
      <c r="C376" s="1" t="s">
        <v>1110</v>
      </c>
      <c r="D376" s="1" t="s">
        <v>1111</v>
      </c>
      <c r="E376" s="1">
        <v>0.79680134199999997</v>
      </c>
      <c r="F376" s="1">
        <v>9.0734321000000007E-2</v>
      </c>
      <c r="G376" s="1">
        <f t="shared" si="15"/>
        <v>0.62900154301</v>
      </c>
      <c r="H376">
        <f t="shared" si="16"/>
        <v>0.37099845699</v>
      </c>
      <c r="I376">
        <f t="shared" si="17"/>
        <v>37.099845698999999</v>
      </c>
    </row>
    <row r="377" spans="1:9" x14ac:dyDescent="0.2">
      <c r="A377" s="1" t="s">
        <v>1262</v>
      </c>
      <c r="B377" s="1" t="s">
        <v>1263</v>
      </c>
      <c r="C377" s="1" t="s">
        <v>1176</v>
      </c>
      <c r="D377" s="1" t="s">
        <v>1177</v>
      </c>
      <c r="E377" s="1">
        <v>0.77358375800000001</v>
      </c>
      <c r="F377" s="1">
        <v>8.9561012999999995E-2</v>
      </c>
      <c r="G377" s="1">
        <f t="shared" si="15"/>
        <v>0.66428769776999996</v>
      </c>
      <c r="H377">
        <f t="shared" si="16"/>
        <v>0.33571230223000004</v>
      </c>
      <c r="I377">
        <f t="shared" si="17"/>
        <v>33.571230223000001</v>
      </c>
    </row>
    <row r="378" spans="1:9" x14ac:dyDescent="0.2">
      <c r="A378" s="1" t="s">
        <v>640</v>
      </c>
      <c r="B378" s="1" t="s">
        <v>641</v>
      </c>
      <c r="C378" s="1" t="s">
        <v>14</v>
      </c>
      <c r="D378" s="1" t="s">
        <v>15</v>
      </c>
      <c r="E378" s="1">
        <v>0.79315606400000005</v>
      </c>
      <c r="F378" s="1">
        <v>8.9140031999999994E-2</v>
      </c>
      <c r="G378" s="1">
        <f t="shared" si="15"/>
        <v>0.63007171391999983</v>
      </c>
      <c r="H378">
        <f t="shared" si="16"/>
        <v>0.36992828608000017</v>
      </c>
      <c r="I378">
        <f t="shared" si="17"/>
        <v>36.992828608000018</v>
      </c>
    </row>
    <row r="379" spans="1:9" x14ac:dyDescent="0.2">
      <c r="A379" s="1" t="s">
        <v>1264</v>
      </c>
      <c r="B379" s="1" t="s">
        <v>1265</v>
      </c>
      <c r="C379" s="1" t="s">
        <v>1176</v>
      </c>
      <c r="D379" s="1" t="s">
        <v>1177</v>
      </c>
      <c r="E379" s="1">
        <v>0.73250315399999999</v>
      </c>
      <c r="F379" s="1">
        <v>0.13149175799999999</v>
      </c>
      <c r="G379" s="1">
        <f t="shared" si="15"/>
        <v>0.86622357413999995</v>
      </c>
      <c r="H379">
        <f t="shared" si="16"/>
        <v>0.13377642586000005</v>
      </c>
      <c r="I379">
        <f t="shared" si="17"/>
        <v>13.377642586000004</v>
      </c>
    </row>
    <row r="380" spans="1:9" x14ac:dyDescent="0.2">
      <c r="A380" s="1" t="s">
        <v>1178</v>
      </c>
      <c r="B380" s="1" t="s">
        <v>1179</v>
      </c>
      <c r="C380" s="1" t="s">
        <v>1176</v>
      </c>
      <c r="D380" s="1" t="s">
        <v>1177</v>
      </c>
      <c r="E380" s="1">
        <v>0.75699146900000003</v>
      </c>
      <c r="F380" s="1">
        <v>0.105015494</v>
      </c>
      <c r="G380" s="1">
        <f t="shared" si="15"/>
        <v>0.74115344805999994</v>
      </c>
      <c r="H380">
        <f t="shared" si="16"/>
        <v>0.25884655194000006</v>
      </c>
      <c r="I380">
        <f t="shared" si="17"/>
        <v>25.884655194000004</v>
      </c>
    </row>
    <row r="381" spans="1:9" x14ac:dyDescent="0.2">
      <c r="A381" s="1" t="s">
        <v>1154</v>
      </c>
      <c r="B381" s="1" t="s">
        <v>1155</v>
      </c>
      <c r="C381" s="1" t="s">
        <v>1110</v>
      </c>
      <c r="D381" s="1" t="s">
        <v>1111</v>
      </c>
      <c r="E381" s="1">
        <v>0.76416155900000005</v>
      </c>
      <c r="F381" s="1">
        <v>0.120777655</v>
      </c>
      <c r="G381" s="1">
        <f t="shared" si="15"/>
        <v>0.77907374722999989</v>
      </c>
      <c r="H381">
        <f t="shared" si="16"/>
        <v>0.22092625277000011</v>
      </c>
      <c r="I381">
        <f t="shared" si="17"/>
        <v>22.09262527700001</v>
      </c>
    </row>
    <row r="382" spans="1:9" x14ac:dyDescent="0.2">
      <c r="A382" s="1" t="s">
        <v>642</v>
      </c>
      <c r="B382" s="1" t="s">
        <v>643</v>
      </c>
      <c r="C382" s="1" t="s">
        <v>6</v>
      </c>
      <c r="D382" s="1" t="s">
        <v>7</v>
      </c>
      <c r="E382" s="1">
        <v>0.81999140800000003</v>
      </c>
      <c r="F382" s="1">
        <v>7.0489870999999996E-2</v>
      </c>
      <c r="G382" s="1">
        <f t="shared" si="15"/>
        <v>0.52586732562999994</v>
      </c>
      <c r="H382">
        <f t="shared" si="16"/>
        <v>0.47413267437000006</v>
      </c>
      <c r="I382">
        <f t="shared" si="17"/>
        <v>47.413267437000009</v>
      </c>
    </row>
    <row r="383" spans="1:9" x14ac:dyDescent="0.2">
      <c r="A383" s="1" t="s">
        <v>644</v>
      </c>
      <c r="B383" s="1" t="s">
        <v>645</v>
      </c>
      <c r="C383" s="1" t="s">
        <v>6</v>
      </c>
      <c r="D383" s="1" t="s">
        <v>7</v>
      </c>
      <c r="E383" s="1">
        <v>0.80883702300000004</v>
      </c>
      <c r="F383" s="1">
        <v>7.5947580000000001E-2</v>
      </c>
      <c r="G383" s="1">
        <f t="shared" si="15"/>
        <v>0.56190762995999988</v>
      </c>
      <c r="H383">
        <f t="shared" si="16"/>
        <v>0.43809237004000012</v>
      </c>
      <c r="I383">
        <f t="shared" si="17"/>
        <v>43.809237004000011</v>
      </c>
    </row>
    <row r="384" spans="1:9" x14ac:dyDescent="0.2">
      <c r="A384" s="1" t="s">
        <v>646</v>
      </c>
      <c r="B384" s="1" t="s">
        <v>647</v>
      </c>
      <c r="C384" s="1" t="s">
        <v>18</v>
      </c>
      <c r="D384" s="1" t="s">
        <v>19</v>
      </c>
      <c r="E384" s="1">
        <v>0.81761419300000004</v>
      </c>
      <c r="F384" s="1">
        <v>7.3137069999999998E-2</v>
      </c>
      <c r="G384" s="1">
        <f t="shared" si="15"/>
        <v>0.53825266765999991</v>
      </c>
      <c r="H384">
        <f t="shared" si="16"/>
        <v>0.46174733234000009</v>
      </c>
      <c r="I384">
        <f t="shared" si="17"/>
        <v>46.174733234000009</v>
      </c>
    </row>
    <row r="385" spans="1:9" x14ac:dyDescent="0.2">
      <c r="A385" s="1" t="s">
        <v>648</v>
      </c>
      <c r="B385" s="1" t="s">
        <v>649</v>
      </c>
      <c r="C385" s="1" t="s">
        <v>6</v>
      </c>
      <c r="D385" s="1" t="s">
        <v>7</v>
      </c>
      <c r="E385" s="1">
        <v>0.848397964</v>
      </c>
      <c r="F385" s="1">
        <v>5.2797034999999999E-2</v>
      </c>
      <c r="G385" s="1">
        <f t="shared" si="15"/>
        <v>0.42205802142999999</v>
      </c>
      <c r="H385">
        <f t="shared" si="16"/>
        <v>0.57794197856999996</v>
      </c>
      <c r="I385">
        <f t="shared" si="17"/>
        <v>57.794197856999993</v>
      </c>
    </row>
    <row r="386" spans="1:9" x14ac:dyDescent="0.2">
      <c r="A386" s="1" t="s">
        <v>650</v>
      </c>
      <c r="B386" s="1" t="s">
        <v>651</v>
      </c>
      <c r="C386" s="1" t="s">
        <v>98</v>
      </c>
      <c r="D386" s="1" t="s">
        <v>99</v>
      </c>
      <c r="E386" s="1">
        <v>0.80608522100000002</v>
      </c>
      <c r="F386" s="1">
        <v>9.0918824999999995E-2</v>
      </c>
      <c r="G386" s="1">
        <f t="shared" si="15"/>
        <v>0.61398950396999996</v>
      </c>
      <c r="H386">
        <f t="shared" si="16"/>
        <v>0.38601049603000004</v>
      </c>
      <c r="I386">
        <f t="shared" si="17"/>
        <v>38.601049603000007</v>
      </c>
    </row>
    <row r="387" spans="1:9" x14ac:dyDescent="0.2">
      <c r="A387" s="1" t="s">
        <v>652</v>
      </c>
      <c r="B387" s="1" t="s">
        <v>653</v>
      </c>
      <c r="C387" s="1" t="s">
        <v>98</v>
      </c>
      <c r="D387" s="1" t="s">
        <v>99</v>
      </c>
      <c r="E387" s="1">
        <v>0.78502615200000003</v>
      </c>
      <c r="F387" s="1">
        <v>9.5921048999999994E-2</v>
      </c>
      <c r="G387" s="1">
        <f t="shared" ref="G387:G450" si="18">1.68*(1-E387)+3.17*F387</f>
        <v>0.66522578996999993</v>
      </c>
      <c r="H387">
        <f t="shared" ref="H387:H450" si="19">1-G387</f>
        <v>0.33477421003000007</v>
      </c>
      <c r="I387">
        <f t="shared" ref="I387:I450" si="20">100*H387</f>
        <v>33.477421003000011</v>
      </c>
    </row>
    <row r="388" spans="1:9" x14ac:dyDescent="0.2">
      <c r="A388" s="1" t="s">
        <v>654</v>
      </c>
      <c r="B388" s="1" t="s">
        <v>655</v>
      </c>
      <c r="C388" s="1" t="s">
        <v>98</v>
      </c>
      <c r="D388" s="1" t="s">
        <v>99</v>
      </c>
      <c r="E388" s="1">
        <v>0.83035697600000002</v>
      </c>
      <c r="F388" s="1">
        <v>6.9258877999999996E-2</v>
      </c>
      <c r="G388" s="1">
        <f t="shared" si="18"/>
        <v>0.50455092357999998</v>
      </c>
      <c r="H388">
        <f t="shared" si="19"/>
        <v>0.49544907642000002</v>
      </c>
      <c r="I388">
        <f t="shared" si="20"/>
        <v>49.544907642000005</v>
      </c>
    </row>
    <row r="389" spans="1:9" x14ac:dyDescent="0.2">
      <c r="A389" s="1" t="s">
        <v>656</v>
      </c>
      <c r="B389" s="1" t="s">
        <v>657</v>
      </c>
      <c r="C389" s="1" t="s">
        <v>10</v>
      </c>
      <c r="D389" s="1" t="s">
        <v>11</v>
      </c>
      <c r="E389" s="1">
        <v>0.788340025</v>
      </c>
      <c r="F389" s="1">
        <v>8.8784593999999994E-2</v>
      </c>
      <c r="G389" s="1">
        <f t="shared" si="18"/>
        <v>0.63703592098000006</v>
      </c>
      <c r="H389">
        <f t="shared" si="19"/>
        <v>0.36296407901999994</v>
      </c>
      <c r="I389">
        <f t="shared" si="20"/>
        <v>36.296407901999991</v>
      </c>
    </row>
    <row r="390" spans="1:9" x14ac:dyDescent="0.2">
      <c r="A390" s="1" t="s">
        <v>1156</v>
      </c>
      <c r="B390" s="1" t="s">
        <v>1157</v>
      </c>
      <c r="C390" s="1" t="s">
        <v>1110</v>
      </c>
      <c r="D390" s="1" t="s">
        <v>1111</v>
      </c>
      <c r="E390" s="1">
        <v>0.79613396700000005</v>
      </c>
      <c r="F390" s="1">
        <v>9.8621999000000002E-2</v>
      </c>
      <c r="G390" s="1">
        <f t="shared" si="18"/>
        <v>0.65512667226999988</v>
      </c>
      <c r="H390">
        <f t="shared" si="19"/>
        <v>0.34487332773000012</v>
      </c>
      <c r="I390">
        <f t="shared" si="20"/>
        <v>34.487332773000013</v>
      </c>
    </row>
    <row r="391" spans="1:9" x14ac:dyDescent="0.2">
      <c r="A391" s="1" t="s">
        <v>1158</v>
      </c>
      <c r="B391" s="1" t="s">
        <v>1159</v>
      </c>
      <c r="C391" s="1" t="s">
        <v>1110</v>
      </c>
      <c r="D391" s="1" t="s">
        <v>1111</v>
      </c>
      <c r="E391" s="1">
        <v>0.79072537399999998</v>
      </c>
      <c r="F391" s="1">
        <v>0.100788471</v>
      </c>
      <c r="G391" s="1">
        <f t="shared" si="18"/>
        <v>0.67108082474999997</v>
      </c>
      <c r="H391">
        <f t="shared" si="19"/>
        <v>0.32891917525000003</v>
      </c>
      <c r="I391">
        <f t="shared" si="20"/>
        <v>32.891917525000004</v>
      </c>
    </row>
    <row r="392" spans="1:9" x14ac:dyDescent="0.2">
      <c r="A392" s="1" t="s">
        <v>658</v>
      </c>
      <c r="B392" s="1" t="s">
        <v>659</v>
      </c>
      <c r="C392" s="1" t="s">
        <v>54</v>
      </c>
      <c r="D392" s="1" t="s">
        <v>55</v>
      </c>
      <c r="E392" s="1">
        <v>0.78955599600000004</v>
      </c>
      <c r="F392" s="1">
        <v>8.5908628000000001E-2</v>
      </c>
      <c r="G392" s="1">
        <f t="shared" si="18"/>
        <v>0.62587627747999997</v>
      </c>
      <c r="H392">
        <f t="shared" si="19"/>
        <v>0.37412372252000003</v>
      </c>
      <c r="I392">
        <f t="shared" si="20"/>
        <v>37.412372252000004</v>
      </c>
    </row>
    <row r="393" spans="1:9" x14ac:dyDescent="0.2">
      <c r="A393" s="1" t="s">
        <v>660</v>
      </c>
      <c r="B393" s="1" t="s">
        <v>661</v>
      </c>
      <c r="C393" s="1" t="s">
        <v>98</v>
      </c>
      <c r="D393" s="1" t="s">
        <v>99</v>
      </c>
      <c r="E393" s="1">
        <v>0.76773244699999998</v>
      </c>
      <c r="F393" s="1">
        <v>0.109177282</v>
      </c>
      <c r="G393" s="1">
        <f t="shared" si="18"/>
        <v>0.73630147298000004</v>
      </c>
      <c r="H393">
        <f t="shared" si="19"/>
        <v>0.26369852701999996</v>
      </c>
      <c r="I393">
        <f t="shared" si="20"/>
        <v>26.369852701999996</v>
      </c>
    </row>
    <row r="394" spans="1:9" x14ac:dyDescent="0.2">
      <c r="A394" s="1" t="s">
        <v>662</v>
      </c>
      <c r="B394" s="1" t="s">
        <v>663</v>
      </c>
      <c r="C394" s="1" t="s">
        <v>38</v>
      </c>
      <c r="D394" s="1" t="s">
        <v>39</v>
      </c>
      <c r="E394" s="1">
        <v>0.78230770699999996</v>
      </c>
      <c r="F394" s="1">
        <v>0.105268268</v>
      </c>
      <c r="G394" s="1">
        <f t="shared" si="18"/>
        <v>0.69942346180000003</v>
      </c>
      <c r="H394">
        <f t="shared" si="19"/>
        <v>0.30057653819999997</v>
      </c>
      <c r="I394">
        <f t="shared" si="20"/>
        <v>30.057653819999995</v>
      </c>
    </row>
    <row r="395" spans="1:9" x14ac:dyDescent="0.2">
      <c r="A395" s="1" t="s">
        <v>1182</v>
      </c>
      <c r="B395" s="1" t="s">
        <v>1183</v>
      </c>
      <c r="C395" s="1" t="s">
        <v>1176</v>
      </c>
      <c r="D395" s="1" t="s">
        <v>1177</v>
      </c>
      <c r="E395" s="1">
        <v>0.71614489400000003</v>
      </c>
      <c r="F395" s="1">
        <v>0.13562803900000001</v>
      </c>
      <c r="G395" s="1">
        <f t="shared" si="18"/>
        <v>0.90681746170999999</v>
      </c>
      <c r="H395">
        <f t="shared" si="19"/>
        <v>9.3182538290000005E-2</v>
      </c>
      <c r="I395">
        <f t="shared" si="20"/>
        <v>9.3182538289999997</v>
      </c>
    </row>
    <row r="396" spans="1:9" x14ac:dyDescent="0.2">
      <c r="A396" s="1" t="s">
        <v>664</v>
      </c>
      <c r="B396" s="1" t="s">
        <v>665</v>
      </c>
      <c r="C396" s="1" t="s">
        <v>46</v>
      </c>
      <c r="D396" s="1" t="s">
        <v>47</v>
      </c>
      <c r="E396" s="1">
        <v>0.84814232000000001</v>
      </c>
      <c r="F396" s="1">
        <v>5.4406232999999998E-2</v>
      </c>
      <c r="G396" s="1">
        <f t="shared" si="18"/>
        <v>0.42758866100999993</v>
      </c>
      <c r="H396">
        <f t="shared" si="19"/>
        <v>0.57241133899000007</v>
      </c>
      <c r="I396">
        <f t="shared" si="20"/>
        <v>57.241133899000005</v>
      </c>
    </row>
    <row r="397" spans="1:9" x14ac:dyDescent="0.2">
      <c r="A397" s="1" t="s">
        <v>666</v>
      </c>
      <c r="B397" s="1" t="s">
        <v>667</v>
      </c>
      <c r="C397" s="1" t="s">
        <v>54</v>
      </c>
      <c r="D397" s="1" t="s">
        <v>55</v>
      </c>
      <c r="E397" s="1">
        <v>0.79155068799999995</v>
      </c>
      <c r="F397" s="1">
        <v>8.8385978000000004E-2</v>
      </c>
      <c r="G397" s="1">
        <f t="shared" si="18"/>
        <v>0.6303783944200001</v>
      </c>
      <c r="H397">
        <f t="shared" si="19"/>
        <v>0.3696216055799999</v>
      </c>
      <c r="I397">
        <f t="shared" si="20"/>
        <v>36.962160557999994</v>
      </c>
    </row>
    <row r="398" spans="1:9" x14ac:dyDescent="0.2">
      <c r="A398" s="1" t="s">
        <v>668</v>
      </c>
      <c r="B398" s="1" t="s">
        <v>669</v>
      </c>
      <c r="C398" s="1" t="s">
        <v>54</v>
      </c>
      <c r="D398" s="1" t="s">
        <v>55</v>
      </c>
      <c r="E398" s="1">
        <v>0.84198782500000002</v>
      </c>
      <c r="F398" s="1">
        <v>5.8133489000000003E-2</v>
      </c>
      <c r="G398" s="1">
        <f t="shared" si="18"/>
        <v>0.44974361412999997</v>
      </c>
      <c r="H398">
        <f t="shared" si="19"/>
        <v>0.55025638587000003</v>
      </c>
      <c r="I398">
        <f t="shared" si="20"/>
        <v>55.025638587000003</v>
      </c>
    </row>
    <row r="399" spans="1:9" x14ac:dyDescent="0.2">
      <c r="A399" s="1" t="s">
        <v>670</v>
      </c>
      <c r="B399" s="1" t="s">
        <v>671</v>
      </c>
      <c r="C399" s="1" t="s">
        <v>54</v>
      </c>
      <c r="D399" s="1" t="s">
        <v>55</v>
      </c>
      <c r="E399" s="1">
        <v>0.80430175100000001</v>
      </c>
      <c r="F399" s="1">
        <v>7.9767977000000004E-2</v>
      </c>
      <c r="G399" s="1">
        <f t="shared" si="18"/>
        <v>0.58163754541000001</v>
      </c>
      <c r="H399">
        <f t="shared" si="19"/>
        <v>0.41836245458999999</v>
      </c>
      <c r="I399">
        <f t="shared" si="20"/>
        <v>41.836245458999997</v>
      </c>
    </row>
    <row r="400" spans="1:9" x14ac:dyDescent="0.2">
      <c r="A400" s="1" t="s">
        <v>672</v>
      </c>
      <c r="B400" s="1" t="s">
        <v>673</v>
      </c>
      <c r="C400" s="1" t="s">
        <v>54</v>
      </c>
      <c r="D400" s="1" t="s">
        <v>55</v>
      </c>
      <c r="E400" s="1">
        <v>0.81953732999999995</v>
      </c>
      <c r="F400" s="1">
        <v>6.7038806000000006E-2</v>
      </c>
      <c r="G400" s="1">
        <f t="shared" si="18"/>
        <v>0.5156903006200001</v>
      </c>
      <c r="H400">
        <f t="shared" si="19"/>
        <v>0.4843096993799999</v>
      </c>
      <c r="I400">
        <f t="shared" si="20"/>
        <v>48.43096993799999</v>
      </c>
    </row>
    <row r="401" spans="1:9" x14ac:dyDescent="0.2">
      <c r="A401" s="1" t="s">
        <v>674</v>
      </c>
      <c r="B401" s="1" t="s">
        <v>675</v>
      </c>
      <c r="C401" s="1" t="s">
        <v>98</v>
      </c>
      <c r="D401" s="1" t="s">
        <v>99</v>
      </c>
      <c r="E401" s="1">
        <v>0.77058829699999998</v>
      </c>
      <c r="F401" s="1">
        <v>0.105845065</v>
      </c>
      <c r="G401" s="1">
        <f t="shared" si="18"/>
        <v>0.72094051709000007</v>
      </c>
      <c r="H401">
        <f t="shared" si="19"/>
        <v>0.27905948290999993</v>
      </c>
      <c r="I401">
        <f t="shared" si="20"/>
        <v>27.905948290999994</v>
      </c>
    </row>
    <row r="402" spans="1:9" x14ac:dyDescent="0.2">
      <c r="A402" s="1" t="s">
        <v>676</v>
      </c>
      <c r="B402" s="1" t="s">
        <v>677</v>
      </c>
      <c r="C402" s="1" t="s">
        <v>46</v>
      </c>
      <c r="D402" s="1" t="s">
        <v>47</v>
      </c>
      <c r="E402" s="1">
        <v>0.79664656199999995</v>
      </c>
      <c r="F402" s="1">
        <v>8.8286389000000007E-2</v>
      </c>
      <c r="G402" s="1">
        <f t="shared" si="18"/>
        <v>0.62150162897000016</v>
      </c>
      <c r="H402">
        <f t="shared" si="19"/>
        <v>0.37849837102999984</v>
      </c>
      <c r="I402">
        <f t="shared" si="20"/>
        <v>37.849837102999984</v>
      </c>
    </row>
    <row r="403" spans="1:9" x14ac:dyDescent="0.2">
      <c r="A403" s="1" t="s">
        <v>678</v>
      </c>
      <c r="B403" s="1" t="s">
        <v>679</v>
      </c>
      <c r="C403" s="1" t="s">
        <v>18</v>
      </c>
      <c r="D403" s="1" t="s">
        <v>19</v>
      </c>
      <c r="E403" s="1">
        <v>0.78877962800000001</v>
      </c>
      <c r="F403" s="1">
        <v>9.2320341E-2</v>
      </c>
      <c r="G403" s="1">
        <f t="shared" si="18"/>
        <v>0.64750570593000001</v>
      </c>
      <c r="H403">
        <f t="shared" si="19"/>
        <v>0.35249429406999999</v>
      </c>
      <c r="I403">
        <f t="shared" si="20"/>
        <v>35.249429407000001</v>
      </c>
    </row>
    <row r="404" spans="1:9" x14ac:dyDescent="0.2">
      <c r="A404" s="1" t="s">
        <v>1266</v>
      </c>
      <c r="B404" s="1" t="s">
        <v>1267</v>
      </c>
      <c r="C404" s="1" t="s">
        <v>1176</v>
      </c>
      <c r="D404" s="1" t="s">
        <v>1177</v>
      </c>
      <c r="E404" s="1">
        <v>0.75957569000000003</v>
      </c>
      <c r="F404" s="1">
        <v>9.3486905999999995E-2</v>
      </c>
      <c r="G404" s="1">
        <f t="shared" si="18"/>
        <v>0.70026633281999995</v>
      </c>
      <c r="H404">
        <f t="shared" si="19"/>
        <v>0.29973366718000005</v>
      </c>
      <c r="I404">
        <f t="shared" si="20"/>
        <v>29.973366718000005</v>
      </c>
    </row>
    <row r="405" spans="1:9" x14ac:dyDescent="0.2">
      <c r="A405" s="1" t="s">
        <v>680</v>
      </c>
      <c r="B405" s="1" t="s">
        <v>681</v>
      </c>
      <c r="C405" s="1" t="s">
        <v>6</v>
      </c>
      <c r="D405" s="1" t="s">
        <v>7</v>
      </c>
      <c r="E405" s="1">
        <v>0.87025040600000003</v>
      </c>
      <c r="F405" s="1">
        <v>4.3593249000000001E-2</v>
      </c>
      <c r="G405" s="1">
        <f t="shared" si="18"/>
        <v>0.35616991724999991</v>
      </c>
      <c r="H405">
        <f t="shared" si="19"/>
        <v>0.64383008275000009</v>
      </c>
      <c r="I405">
        <f t="shared" si="20"/>
        <v>64.383008275000009</v>
      </c>
    </row>
    <row r="406" spans="1:9" x14ac:dyDescent="0.2">
      <c r="A406" s="1" t="s">
        <v>682</v>
      </c>
      <c r="B406" s="1" t="s">
        <v>683</v>
      </c>
      <c r="C406" s="1" t="s">
        <v>46</v>
      </c>
      <c r="D406" s="1" t="s">
        <v>47</v>
      </c>
      <c r="E406" s="1">
        <v>0.84232082600000002</v>
      </c>
      <c r="F406" s="1">
        <v>5.7018610999999997E-2</v>
      </c>
      <c r="G406" s="1">
        <f t="shared" si="18"/>
        <v>0.44565000918999997</v>
      </c>
      <c r="H406">
        <f t="shared" si="19"/>
        <v>0.55434999081000003</v>
      </c>
      <c r="I406">
        <f t="shared" si="20"/>
        <v>55.434999081000001</v>
      </c>
    </row>
    <row r="407" spans="1:9" x14ac:dyDescent="0.2">
      <c r="A407" s="1" t="s">
        <v>684</v>
      </c>
      <c r="B407" s="1" t="s">
        <v>685</v>
      </c>
      <c r="C407" s="1" t="s">
        <v>54</v>
      </c>
      <c r="D407" s="1" t="s">
        <v>55</v>
      </c>
      <c r="E407" s="1">
        <v>0.83422124099999995</v>
      </c>
      <c r="F407" s="1">
        <v>6.3699066999999998E-2</v>
      </c>
      <c r="G407" s="1">
        <f t="shared" si="18"/>
        <v>0.48043435751000008</v>
      </c>
      <c r="H407">
        <f t="shared" si="19"/>
        <v>0.51956564248999992</v>
      </c>
      <c r="I407">
        <f t="shared" si="20"/>
        <v>51.956564248999996</v>
      </c>
    </row>
    <row r="408" spans="1:9" x14ac:dyDescent="0.2">
      <c r="A408" s="1" t="s">
        <v>686</v>
      </c>
      <c r="B408" s="1" t="s">
        <v>687</v>
      </c>
      <c r="C408" s="1" t="s">
        <v>10</v>
      </c>
      <c r="D408" s="1" t="s">
        <v>11</v>
      </c>
      <c r="E408" s="1">
        <v>0.81203547300000001</v>
      </c>
      <c r="F408" s="1">
        <v>7.4534230000000007E-2</v>
      </c>
      <c r="G408" s="1">
        <f t="shared" si="18"/>
        <v>0.55205391445999996</v>
      </c>
      <c r="H408">
        <f t="shared" si="19"/>
        <v>0.44794608554000004</v>
      </c>
      <c r="I408">
        <f t="shared" si="20"/>
        <v>44.794608554000007</v>
      </c>
    </row>
    <row r="409" spans="1:9" x14ac:dyDescent="0.2">
      <c r="A409" s="1" t="s">
        <v>688</v>
      </c>
      <c r="B409" s="1" t="s">
        <v>689</v>
      </c>
      <c r="C409" s="1" t="s">
        <v>46</v>
      </c>
      <c r="D409" s="1" t="s">
        <v>47</v>
      </c>
      <c r="E409" s="1">
        <v>0.77104222200000005</v>
      </c>
      <c r="F409" s="1">
        <v>9.1562413999999995E-2</v>
      </c>
      <c r="G409" s="1">
        <f t="shared" si="18"/>
        <v>0.67490191941999989</v>
      </c>
      <c r="H409">
        <f t="shared" si="19"/>
        <v>0.32509808058000011</v>
      </c>
      <c r="I409">
        <f t="shared" si="20"/>
        <v>32.509808058000011</v>
      </c>
    </row>
    <row r="410" spans="1:9" x14ac:dyDescent="0.2">
      <c r="A410" s="1" t="s">
        <v>690</v>
      </c>
      <c r="B410" s="1" t="s">
        <v>691</v>
      </c>
      <c r="C410" s="1" t="s">
        <v>98</v>
      </c>
      <c r="D410" s="1" t="s">
        <v>99</v>
      </c>
      <c r="E410" s="1">
        <v>0.790091875</v>
      </c>
      <c r="F410" s="1">
        <v>8.7596882000000001E-2</v>
      </c>
      <c r="G410" s="1">
        <f t="shared" si="18"/>
        <v>0.63032776593999995</v>
      </c>
      <c r="H410">
        <f t="shared" si="19"/>
        <v>0.36967223406000005</v>
      </c>
      <c r="I410">
        <f t="shared" si="20"/>
        <v>36.967223406000002</v>
      </c>
    </row>
    <row r="411" spans="1:9" x14ac:dyDescent="0.2">
      <c r="A411" s="1" t="s">
        <v>692</v>
      </c>
      <c r="B411" s="1" t="s">
        <v>693</v>
      </c>
      <c r="C411" s="1" t="s">
        <v>10</v>
      </c>
      <c r="D411" s="1" t="s">
        <v>11</v>
      </c>
      <c r="E411" s="1">
        <v>0.81206225300000001</v>
      </c>
      <c r="F411" s="1">
        <v>7.6350019000000005E-2</v>
      </c>
      <c r="G411" s="1">
        <f t="shared" si="18"/>
        <v>0.55776497519000001</v>
      </c>
      <c r="H411">
        <f t="shared" si="19"/>
        <v>0.44223502480999999</v>
      </c>
      <c r="I411">
        <f t="shared" si="20"/>
        <v>44.223502480999997</v>
      </c>
    </row>
    <row r="412" spans="1:9" x14ac:dyDescent="0.2">
      <c r="A412" s="1" t="s">
        <v>694</v>
      </c>
      <c r="B412" s="1" t="s">
        <v>695</v>
      </c>
      <c r="C412" s="1" t="s">
        <v>54</v>
      </c>
      <c r="D412" s="1" t="s">
        <v>55</v>
      </c>
      <c r="E412" s="1">
        <v>0.83711699100000003</v>
      </c>
      <c r="F412" s="1">
        <v>6.0952442000000003E-2</v>
      </c>
      <c r="G412" s="1">
        <f t="shared" si="18"/>
        <v>0.46686269625999993</v>
      </c>
      <c r="H412">
        <f t="shared" si="19"/>
        <v>0.53313730374000001</v>
      </c>
      <c r="I412">
        <f t="shared" si="20"/>
        <v>53.313730374000002</v>
      </c>
    </row>
    <row r="413" spans="1:9" x14ac:dyDescent="0.2">
      <c r="A413" s="1" t="s">
        <v>696</v>
      </c>
      <c r="B413" s="1" t="s">
        <v>697</v>
      </c>
      <c r="C413" s="1" t="s">
        <v>10</v>
      </c>
      <c r="D413" s="1" t="s">
        <v>11</v>
      </c>
      <c r="E413" s="1">
        <v>0.80823555800000002</v>
      </c>
      <c r="F413" s="1">
        <v>8.5045961000000003E-2</v>
      </c>
      <c r="G413" s="1">
        <f t="shared" si="18"/>
        <v>0.59175995893</v>
      </c>
      <c r="H413">
        <f t="shared" si="19"/>
        <v>0.40824004107</v>
      </c>
      <c r="I413">
        <f t="shared" si="20"/>
        <v>40.824004107</v>
      </c>
    </row>
    <row r="414" spans="1:9" x14ac:dyDescent="0.2">
      <c r="A414" s="1" t="s">
        <v>698</v>
      </c>
      <c r="B414" s="1" t="s">
        <v>699</v>
      </c>
      <c r="C414" s="1" t="s">
        <v>46</v>
      </c>
      <c r="D414" s="1" t="s">
        <v>47</v>
      </c>
      <c r="E414" s="1">
        <v>0.84140116799999998</v>
      </c>
      <c r="F414" s="1">
        <v>6.2380164000000002E-2</v>
      </c>
      <c r="G414" s="1">
        <f t="shared" si="18"/>
        <v>0.46419115764000007</v>
      </c>
      <c r="H414">
        <f t="shared" si="19"/>
        <v>0.53580884235999993</v>
      </c>
      <c r="I414">
        <f t="shared" si="20"/>
        <v>53.580884235999996</v>
      </c>
    </row>
    <row r="415" spans="1:9" x14ac:dyDescent="0.2">
      <c r="A415" s="1" t="s">
        <v>700</v>
      </c>
      <c r="B415" s="1" t="s">
        <v>701</v>
      </c>
      <c r="C415" s="1" t="s">
        <v>46</v>
      </c>
      <c r="D415" s="1" t="s">
        <v>47</v>
      </c>
      <c r="E415" s="1">
        <v>0.86343936899999996</v>
      </c>
      <c r="F415" s="1">
        <v>4.8361636E-2</v>
      </c>
      <c r="G415" s="1">
        <f t="shared" si="18"/>
        <v>0.38272824620000007</v>
      </c>
      <c r="H415">
        <f t="shared" si="19"/>
        <v>0.61727175379999988</v>
      </c>
      <c r="I415">
        <f t="shared" si="20"/>
        <v>61.727175379999991</v>
      </c>
    </row>
    <row r="416" spans="1:9" x14ac:dyDescent="0.2">
      <c r="A416" s="1" t="s">
        <v>702</v>
      </c>
      <c r="B416" s="1" t="s">
        <v>703</v>
      </c>
      <c r="C416" s="1" t="s">
        <v>6</v>
      </c>
      <c r="D416" s="1" t="s">
        <v>7</v>
      </c>
      <c r="E416" s="1">
        <v>0.84696347999999999</v>
      </c>
      <c r="F416" s="1">
        <v>5.5823537999999999E-2</v>
      </c>
      <c r="G416" s="1">
        <f t="shared" si="18"/>
        <v>0.43406196906000005</v>
      </c>
      <c r="H416">
        <f t="shared" si="19"/>
        <v>0.56593803093999995</v>
      </c>
      <c r="I416">
        <f t="shared" si="20"/>
        <v>56.593803093999995</v>
      </c>
    </row>
    <row r="417" spans="1:9" x14ac:dyDescent="0.2">
      <c r="A417" s="1" t="s">
        <v>704</v>
      </c>
      <c r="B417" s="1" t="s">
        <v>705</v>
      </c>
      <c r="C417" s="1" t="s">
        <v>18</v>
      </c>
      <c r="D417" s="1" t="s">
        <v>19</v>
      </c>
      <c r="E417" s="1">
        <v>0.82418898699999998</v>
      </c>
      <c r="F417" s="1">
        <v>6.8514660000000005E-2</v>
      </c>
      <c r="G417" s="1">
        <f t="shared" si="18"/>
        <v>0.51255397404000003</v>
      </c>
      <c r="H417">
        <f t="shared" si="19"/>
        <v>0.48744602595999997</v>
      </c>
      <c r="I417">
        <f t="shared" si="20"/>
        <v>48.744602596</v>
      </c>
    </row>
    <row r="418" spans="1:9" x14ac:dyDescent="0.2">
      <c r="A418" s="1" t="s">
        <v>706</v>
      </c>
      <c r="B418" s="1" t="s">
        <v>707</v>
      </c>
      <c r="C418" s="1" t="s">
        <v>46</v>
      </c>
      <c r="D418" s="1" t="s">
        <v>47</v>
      </c>
      <c r="E418" s="1">
        <v>0.79624833900000003</v>
      </c>
      <c r="F418" s="1">
        <v>8.6313421000000001E-2</v>
      </c>
      <c r="G418" s="1">
        <f t="shared" si="18"/>
        <v>0.61591633504999987</v>
      </c>
      <c r="H418">
        <f t="shared" si="19"/>
        <v>0.38408366495000013</v>
      </c>
      <c r="I418">
        <f t="shared" si="20"/>
        <v>38.40836649500001</v>
      </c>
    </row>
    <row r="419" spans="1:9" x14ac:dyDescent="0.2">
      <c r="A419" s="1" t="s">
        <v>708</v>
      </c>
      <c r="B419" s="1" t="s">
        <v>709</v>
      </c>
      <c r="C419" s="1" t="s">
        <v>18</v>
      </c>
      <c r="D419" s="1" t="s">
        <v>19</v>
      </c>
      <c r="E419" s="1">
        <v>0.84123086000000002</v>
      </c>
      <c r="F419" s="1">
        <v>6.5472292000000001E-2</v>
      </c>
      <c r="G419" s="1">
        <f t="shared" si="18"/>
        <v>0.47427932083999991</v>
      </c>
      <c r="H419">
        <f t="shared" si="19"/>
        <v>0.52572067916000009</v>
      </c>
      <c r="I419">
        <f t="shared" si="20"/>
        <v>52.572067916000009</v>
      </c>
    </row>
    <row r="420" spans="1:9" x14ac:dyDescent="0.2">
      <c r="A420" s="1" t="s">
        <v>710</v>
      </c>
      <c r="B420" s="1" t="s">
        <v>711</v>
      </c>
      <c r="C420" s="1" t="s">
        <v>18</v>
      </c>
      <c r="D420" s="1" t="s">
        <v>19</v>
      </c>
      <c r="E420" s="1">
        <v>0.85472021200000003</v>
      </c>
      <c r="F420" s="1">
        <v>5.7588303E-2</v>
      </c>
      <c r="G420" s="1">
        <f t="shared" si="18"/>
        <v>0.42662496434999997</v>
      </c>
      <c r="H420">
        <f t="shared" si="19"/>
        <v>0.57337503565000003</v>
      </c>
      <c r="I420">
        <f t="shared" si="20"/>
        <v>57.337503565000006</v>
      </c>
    </row>
    <row r="421" spans="1:9" x14ac:dyDescent="0.2">
      <c r="A421" s="1" t="s">
        <v>712</v>
      </c>
      <c r="B421" s="1" t="s">
        <v>713</v>
      </c>
      <c r="C421" s="1" t="s">
        <v>46</v>
      </c>
      <c r="D421" s="1" t="s">
        <v>47</v>
      </c>
      <c r="E421" s="1">
        <v>0.80308884199999997</v>
      </c>
      <c r="F421" s="1">
        <v>7.8522359E-2</v>
      </c>
      <c r="G421" s="1">
        <f t="shared" si="18"/>
        <v>0.57972662347000004</v>
      </c>
      <c r="H421">
        <f t="shared" si="19"/>
        <v>0.42027337652999996</v>
      </c>
      <c r="I421">
        <f t="shared" si="20"/>
        <v>42.027337652999996</v>
      </c>
    </row>
    <row r="422" spans="1:9" x14ac:dyDescent="0.2">
      <c r="A422" s="1" t="s">
        <v>714</v>
      </c>
      <c r="B422" s="1" t="s">
        <v>715</v>
      </c>
      <c r="C422" s="1" t="s">
        <v>46</v>
      </c>
      <c r="D422" s="1" t="s">
        <v>47</v>
      </c>
      <c r="E422" s="1">
        <v>0.79297335300000005</v>
      </c>
      <c r="F422" s="1">
        <v>7.8192116000000006E-2</v>
      </c>
      <c r="G422" s="1">
        <f t="shared" si="18"/>
        <v>0.59567377467999993</v>
      </c>
      <c r="H422">
        <f t="shared" si="19"/>
        <v>0.40432622532000007</v>
      </c>
      <c r="I422">
        <f t="shared" si="20"/>
        <v>40.432622532000003</v>
      </c>
    </row>
    <row r="423" spans="1:9" x14ac:dyDescent="0.2">
      <c r="A423" s="1" t="s">
        <v>716</v>
      </c>
      <c r="B423" s="1" t="s">
        <v>717</v>
      </c>
      <c r="C423" s="1" t="s">
        <v>18</v>
      </c>
      <c r="D423" s="1" t="s">
        <v>19</v>
      </c>
      <c r="E423" s="1">
        <v>0.82634479999999999</v>
      </c>
      <c r="F423" s="1">
        <v>7.2789014999999999E-2</v>
      </c>
      <c r="G423" s="1">
        <f t="shared" si="18"/>
        <v>0.52248191354999995</v>
      </c>
      <c r="H423">
        <f t="shared" si="19"/>
        <v>0.47751808645000005</v>
      </c>
      <c r="I423">
        <f t="shared" si="20"/>
        <v>47.751808645000004</v>
      </c>
    </row>
    <row r="424" spans="1:9" x14ac:dyDescent="0.2">
      <c r="A424" s="1" t="s">
        <v>718</v>
      </c>
      <c r="B424" s="1" t="s">
        <v>719</v>
      </c>
      <c r="C424" s="1" t="s">
        <v>18</v>
      </c>
      <c r="D424" s="1" t="s">
        <v>19</v>
      </c>
      <c r="E424" s="1">
        <v>0.79686063200000001</v>
      </c>
      <c r="F424" s="1">
        <v>9.4852319000000004E-2</v>
      </c>
      <c r="G424" s="1">
        <f t="shared" si="18"/>
        <v>0.64195598946999999</v>
      </c>
      <c r="H424">
        <f t="shared" si="19"/>
        <v>0.35804401053000001</v>
      </c>
      <c r="I424">
        <f t="shared" si="20"/>
        <v>35.804401052999999</v>
      </c>
    </row>
    <row r="425" spans="1:9" x14ac:dyDescent="0.2">
      <c r="A425" s="1" t="s">
        <v>720</v>
      </c>
      <c r="B425" s="1" t="s">
        <v>721</v>
      </c>
      <c r="C425" s="1" t="s">
        <v>18</v>
      </c>
      <c r="D425" s="1" t="s">
        <v>19</v>
      </c>
      <c r="E425" s="1">
        <v>0.81844116899999997</v>
      </c>
      <c r="F425" s="1">
        <v>7.7886689999999995E-2</v>
      </c>
      <c r="G425" s="1">
        <f t="shared" si="18"/>
        <v>0.55191964337999999</v>
      </c>
      <c r="H425">
        <f t="shared" si="19"/>
        <v>0.44808035662000001</v>
      </c>
      <c r="I425">
        <f t="shared" si="20"/>
        <v>44.808035662000002</v>
      </c>
    </row>
    <row r="426" spans="1:9" x14ac:dyDescent="0.2">
      <c r="A426" s="1" t="s">
        <v>722</v>
      </c>
      <c r="B426" s="1" t="s">
        <v>723</v>
      </c>
      <c r="C426" s="1" t="s">
        <v>10</v>
      </c>
      <c r="D426" s="1" t="s">
        <v>11</v>
      </c>
      <c r="E426" s="1">
        <v>0.81372815099999996</v>
      </c>
      <c r="F426" s="1">
        <v>7.9848023000000004E-2</v>
      </c>
      <c r="G426" s="1">
        <f t="shared" si="18"/>
        <v>0.56605493923000005</v>
      </c>
      <c r="H426">
        <f t="shared" si="19"/>
        <v>0.43394506076999995</v>
      </c>
      <c r="I426">
        <f t="shared" si="20"/>
        <v>43.394506076999996</v>
      </c>
    </row>
    <row r="427" spans="1:9" x14ac:dyDescent="0.2">
      <c r="A427" s="1" t="s">
        <v>724</v>
      </c>
      <c r="B427" s="1" t="s">
        <v>725</v>
      </c>
      <c r="C427" s="1" t="s">
        <v>34</v>
      </c>
      <c r="D427" s="1" t="s">
        <v>35</v>
      </c>
      <c r="E427" s="1">
        <v>0.85681217899999995</v>
      </c>
      <c r="F427" s="1">
        <v>6.0311996E-2</v>
      </c>
      <c r="G427" s="1">
        <f t="shared" si="18"/>
        <v>0.43174456660000005</v>
      </c>
      <c r="H427">
        <f t="shared" si="19"/>
        <v>0.56825543339999995</v>
      </c>
      <c r="I427">
        <f t="shared" si="20"/>
        <v>56.825543339999996</v>
      </c>
    </row>
    <row r="428" spans="1:9" x14ac:dyDescent="0.2">
      <c r="A428" s="1" t="s">
        <v>726</v>
      </c>
      <c r="B428" s="1" t="s">
        <v>727</v>
      </c>
      <c r="C428" s="1" t="s">
        <v>14</v>
      </c>
      <c r="D428" s="1" t="s">
        <v>15</v>
      </c>
      <c r="E428" s="1">
        <v>0.81780179900000005</v>
      </c>
      <c r="F428" s="1">
        <v>8.4267127999999997E-2</v>
      </c>
      <c r="G428" s="1">
        <f t="shared" si="18"/>
        <v>0.57321977343999986</v>
      </c>
      <c r="H428">
        <f t="shared" si="19"/>
        <v>0.42678022656000014</v>
      </c>
      <c r="I428">
        <f t="shared" si="20"/>
        <v>42.678022656000017</v>
      </c>
    </row>
    <row r="429" spans="1:9" x14ac:dyDescent="0.2">
      <c r="A429" s="1" t="s">
        <v>728</v>
      </c>
      <c r="B429" s="1" t="s">
        <v>729</v>
      </c>
      <c r="C429" s="1" t="s">
        <v>14</v>
      </c>
      <c r="D429" s="1" t="s">
        <v>15</v>
      </c>
      <c r="E429" s="1">
        <v>0.81923516399999996</v>
      </c>
      <c r="F429" s="1">
        <v>8.6186889000000003E-2</v>
      </c>
      <c r="G429" s="1">
        <f t="shared" si="18"/>
        <v>0.57689736261000002</v>
      </c>
      <c r="H429">
        <f t="shared" si="19"/>
        <v>0.42310263738999998</v>
      </c>
      <c r="I429">
        <f t="shared" si="20"/>
        <v>42.310263739</v>
      </c>
    </row>
    <row r="430" spans="1:9" x14ac:dyDescent="0.2">
      <c r="A430" s="1" t="s">
        <v>1184</v>
      </c>
      <c r="B430" s="1" t="s">
        <v>1185</v>
      </c>
      <c r="C430" s="1" t="s">
        <v>1176</v>
      </c>
      <c r="D430" s="1" t="s">
        <v>1177</v>
      </c>
      <c r="E430" s="1">
        <v>0.77112723100000002</v>
      </c>
      <c r="F430" s="1">
        <v>9.0227403999999997E-2</v>
      </c>
      <c r="G430" s="1">
        <f t="shared" si="18"/>
        <v>0.67052712259999991</v>
      </c>
      <c r="H430">
        <f t="shared" si="19"/>
        <v>0.32947287740000009</v>
      </c>
      <c r="I430">
        <f t="shared" si="20"/>
        <v>32.947287740000007</v>
      </c>
    </row>
    <row r="431" spans="1:9" x14ac:dyDescent="0.2">
      <c r="A431" s="1" t="s">
        <v>730</v>
      </c>
      <c r="B431" s="1" t="s">
        <v>731</v>
      </c>
      <c r="C431" s="1" t="s">
        <v>34</v>
      </c>
      <c r="D431" s="1" t="s">
        <v>35</v>
      </c>
      <c r="E431" s="1">
        <v>0.84956734199999995</v>
      </c>
      <c r="F431" s="1">
        <v>6.0266721000000002E-2</v>
      </c>
      <c r="G431" s="1">
        <f t="shared" si="18"/>
        <v>0.44377237101000006</v>
      </c>
      <c r="H431">
        <f t="shared" si="19"/>
        <v>0.55622762898999989</v>
      </c>
      <c r="I431">
        <f t="shared" si="20"/>
        <v>55.622762898999987</v>
      </c>
    </row>
    <row r="432" spans="1:9" x14ac:dyDescent="0.2">
      <c r="A432" s="1" t="s">
        <v>732</v>
      </c>
      <c r="B432" s="1" t="s">
        <v>733</v>
      </c>
      <c r="C432" s="1" t="s">
        <v>38</v>
      </c>
      <c r="D432" s="1" t="s">
        <v>39</v>
      </c>
      <c r="E432" s="1">
        <v>0.82757104100000001</v>
      </c>
      <c r="F432" s="1">
        <v>7.0863861E-2</v>
      </c>
      <c r="G432" s="1">
        <f t="shared" si="18"/>
        <v>0.51431909048999991</v>
      </c>
      <c r="H432">
        <f t="shared" si="19"/>
        <v>0.48568090951000009</v>
      </c>
      <c r="I432">
        <f t="shared" si="20"/>
        <v>48.568090951000009</v>
      </c>
    </row>
    <row r="433" spans="1:9" x14ac:dyDescent="0.2">
      <c r="A433" s="1" t="s">
        <v>734</v>
      </c>
      <c r="B433" s="1" t="s">
        <v>735</v>
      </c>
      <c r="C433" s="1" t="s">
        <v>6</v>
      </c>
      <c r="D433" s="1" t="s">
        <v>7</v>
      </c>
      <c r="E433" s="1">
        <v>0.85235699300000001</v>
      </c>
      <c r="F433" s="1">
        <v>5.4410475E-2</v>
      </c>
      <c r="G433" s="1">
        <f t="shared" si="18"/>
        <v>0.42052145750999997</v>
      </c>
      <c r="H433">
        <f t="shared" si="19"/>
        <v>0.57947854248999997</v>
      </c>
      <c r="I433">
        <f t="shared" si="20"/>
        <v>57.947854248999995</v>
      </c>
    </row>
    <row r="434" spans="1:9" x14ac:dyDescent="0.2">
      <c r="A434" s="1" t="s">
        <v>736</v>
      </c>
      <c r="B434" s="1" t="s">
        <v>737</v>
      </c>
      <c r="C434" s="1" t="s">
        <v>6</v>
      </c>
      <c r="D434" s="1" t="s">
        <v>7</v>
      </c>
      <c r="E434" s="1">
        <v>0.85670459099999996</v>
      </c>
      <c r="F434" s="1">
        <v>4.4032259999999997E-2</v>
      </c>
      <c r="G434" s="1">
        <f t="shared" si="18"/>
        <v>0.38031855132000003</v>
      </c>
      <c r="H434">
        <f t="shared" si="19"/>
        <v>0.61968144867999997</v>
      </c>
      <c r="I434">
        <f t="shared" si="20"/>
        <v>61.968144867999996</v>
      </c>
    </row>
    <row r="435" spans="1:9" x14ac:dyDescent="0.2">
      <c r="A435" s="1" t="s">
        <v>1268</v>
      </c>
      <c r="B435" s="1" t="s">
        <v>1269</v>
      </c>
      <c r="C435" s="1" t="s">
        <v>1176</v>
      </c>
      <c r="D435" s="1" t="s">
        <v>1177</v>
      </c>
      <c r="E435" s="1">
        <v>0.75000536500000003</v>
      </c>
      <c r="F435" s="1">
        <v>0.12056014600000001</v>
      </c>
      <c r="G435" s="1">
        <f t="shared" si="18"/>
        <v>0.80216664961999995</v>
      </c>
      <c r="H435">
        <f t="shared" si="19"/>
        <v>0.19783335038000005</v>
      </c>
      <c r="I435">
        <f t="shared" si="20"/>
        <v>19.783335038000004</v>
      </c>
    </row>
    <row r="436" spans="1:9" x14ac:dyDescent="0.2">
      <c r="A436" s="1" t="s">
        <v>1270</v>
      </c>
      <c r="B436" s="1" t="s">
        <v>1271</v>
      </c>
      <c r="C436" s="1" t="s">
        <v>1176</v>
      </c>
      <c r="D436" s="1" t="s">
        <v>1177</v>
      </c>
      <c r="E436" s="1">
        <v>0.73761450299999998</v>
      </c>
      <c r="F436" s="1">
        <v>0.12728741199999999</v>
      </c>
      <c r="G436" s="1">
        <f t="shared" si="18"/>
        <v>0.84430873099999992</v>
      </c>
      <c r="H436">
        <f t="shared" si="19"/>
        <v>0.15569126900000008</v>
      </c>
      <c r="I436">
        <f t="shared" si="20"/>
        <v>15.569126900000008</v>
      </c>
    </row>
    <row r="437" spans="1:9" x14ac:dyDescent="0.2">
      <c r="A437" s="1" t="s">
        <v>738</v>
      </c>
      <c r="B437" s="1" t="s">
        <v>739</v>
      </c>
      <c r="C437" s="1" t="s">
        <v>34</v>
      </c>
      <c r="D437" s="1" t="s">
        <v>35</v>
      </c>
      <c r="E437" s="1">
        <v>0.85649797000000005</v>
      </c>
      <c r="F437" s="1">
        <v>6.1968677999999999E-2</v>
      </c>
      <c r="G437" s="1">
        <f t="shared" si="18"/>
        <v>0.43752411965999988</v>
      </c>
      <c r="H437">
        <f t="shared" si="19"/>
        <v>0.56247588034000007</v>
      </c>
      <c r="I437">
        <f t="shared" si="20"/>
        <v>56.247588034000003</v>
      </c>
    </row>
    <row r="438" spans="1:9" x14ac:dyDescent="0.2">
      <c r="A438" s="1" t="s">
        <v>740</v>
      </c>
      <c r="B438" s="1" t="s">
        <v>741</v>
      </c>
      <c r="C438" s="1" t="s">
        <v>14</v>
      </c>
      <c r="D438" s="1" t="s">
        <v>15</v>
      </c>
      <c r="E438" s="1">
        <v>0.82748446600000003</v>
      </c>
      <c r="F438" s="1">
        <v>7.7631531000000004E-2</v>
      </c>
      <c r="G438" s="1">
        <f t="shared" si="18"/>
        <v>0.53591805038999996</v>
      </c>
      <c r="H438">
        <f t="shared" si="19"/>
        <v>0.46408194961000004</v>
      </c>
      <c r="I438">
        <f t="shared" si="20"/>
        <v>46.408194961000007</v>
      </c>
    </row>
    <row r="439" spans="1:9" x14ac:dyDescent="0.2">
      <c r="A439" s="1" t="s">
        <v>742</v>
      </c>
      <c r="B439" s="1" t="s">
        <v>743</v>
      </c>
      <c r="C439" s="1" t="s">
        <v>38</v>
      </c>
      <c r="D439" s="1" t="s">
        <v>39</v>
      </c>
      <c r="E439" s="1">
        <v>0.80182882300000002</v>
      </c>
      <c r="F439" s="1">
        <v>8.6386052000000005E-2</v>
      </c>
      <c r="G439" s="1">
        <f t="shared" si="18"/>
        <v>0.60677136219999994</v>
      </c>
      <c r="H439">
        <f t="shared" si="19"/>
        <v>0.39322863780000006</v>
      </c>
      <c r="I439">
        <f t="shared" si="20"/>
        <v>39.322863780000006</v>
      </c>
    </row>
    <row r="440" spans="1:9" x14ac:dyDescent="0.2">
      <c r="A440" s="1" t="s">
        <v>744</v>
      </c>
      <c r="B440" s="1" t="s">
        <v>745</v>
      </c>
      <c r="C440" s="1" t="s">
        <v>14</v>
      </c>
      <c r="D440" s="1" t="s">
        <v>15</v>
      </c>
      <c r="E440" s="1">
        <v>0.815991362</v>
      </c>
      <c r="F440" s="1">
        <v>7.6984780000000003E-2</v>
      </c>
      <c r="G440" s="1">
        <f t="shared" si="18"/>
        <v>0.55317626444000001</v>
      </c>
      <c r="H440">
        <f t="shared" si="19"/>
        <v>0.44682373555999999</v>
      </c>
      <c r="I440">
        <f t="shared" si="20"/>
        <v>44.682373556000002</v>
      </c>
    </row>
    <row r="441" spans="1:9" x14ac:dyDescent="0.2">
      <c r="A441" s="1" t="s">
        <v>1272</v>
      </c>
      <c r="B441" s="1" t="s">
        <v>1273</v>
      </c>
      <c r="C441" s="1" t="s">
        <v>1176</v>
      </c>
      <c r="D441" s="1" t="s">
        <v>1177</v>
      </c>
      <c r="E441" s="1">
        <v>0.77387764699999995</v>
      </c>
      <c r="F441" s="1">
        <v>9.1272884999999998E-2</v>
      </c>
      <c r="G441" s="1">
        <f t="shared" si="18"/>
        <v>0.66922059849000015</v>
      </c>
      <c r="H441">
        <f t="shared" si="19"/>
        <v>0.33077940150999985</v>
      </c>
      <c r="I441">
        <f t="shared" si="20"/>
        <v>33.077940150999986</v>
      </c>
    </row>
    <row r="442" spans="1:9" x14ac:dyDescent="0.2">
      <c r="A442" s="1" t="s">
        <v>746</v>
      </c>
      <c r="B442" s="1" t="s">
        <v>747</v>
      </c>
      <c r="C442" s="1" t="s">
        <v>46</v>
      </c>
      <c r="D442" s="1" t="s">
        <v>47</v>
      </c>
      <c r="E442" s="1">
        <v>0.82994639999999997</v>
      </c>
      <c r="F442" s="1">
        <v>7.4083213999999994E-2</v>
      </c>
      <c r="G442" s="1">
        <f t="shared" si="18"/>
        <v>0.52053383638000006</v>
      </c>
      <c r="H442">
        <f t="shared" si="19"/>
        <v>0.47946616361999994</v>
      </c>
      <c r="I442">
        <f t="shared" si="20"/>
        <v>47.946616361999993</v>
      </c>
    </row>
    <row r="443" spans="1:9" x14ac:dyDescent="0.2">
      <c r="A443" s="1" t="s">
        <v>748</v>
      </c>
      <c r="B443" s="1" t="s">
        <v>749</v>
      </c>
      <c r="C443" s="1" t="s">
        <v>54</v>
      </c>
      <c r="D443" s="1" t="s">
        <v>55</v>
      </c>
      <c r="E443" s="1">
        <v>0.77154131299999995</v>
      </c>
      <c r="F443" s="1">
        <v>0.104245147</v>
      </c>
      <c r="G443" s="1">
        <f t="shared" si="18"/>
        <v>0.71426771015000012</v>
      </c>
      <c r="H443">
        <f t="shared" si="19"/>
        <v>0.28573228984999988</v>
      </c>
      <c r="I443">
        <f t="shared" si="20"/>
        <v>28.573228984999986</v>
      </c>
    </row>
    <row r="444" spans="1:9" x14ac:dyDescent="0.2">
      <c r="A444" s="1" t="s">
        <v>750</v>
      </c>
      <c r="B444" s="1" t="s">
        <v>751</v>
      </c>
      <c r="C444" s="1" t="s">
        <v>54</v>
      </c>
      <c r="D444" s="1" t="s">
        <v>55</v>
      </c>
      <c r="E444" s="1">
        <v>0.77980780000000005</v>
      </c>
      <c r="F444" s="1">
        <v>9.3604499999999993E-2</v>
      </c>
      <c r="G444" s="1">
        <f t="shared" si="18"/>
        <v>0.66664916099999982</v>
      </c>
      <c r="H444">
        <f t="shared" si="19"/>
        <v>0.33335083900000018</v>
      </c>
      <c r="I444">
        <f t="shared" si="20"/>
        <v>33.335083900000015</v>
      </c>
    </row>
    <row r="445" spans="1:9" x14ac:dyDescent="0.2">
      <c r="A445" s="1" t="s">
        <v>752</v>
      </c>
      <c r="B445" s="1" t="s">
        <v>753</v>
      </c>
      <c r="C445" s="1" t="s">
        <v>38</v>
      </c>
      <c r="D445" s="1" t="s">
        <v>39</v>
      </c>
      <c r="E445" s="1">
        <v>0.79079170300000001</v>
      </c>
      <c r="F445" s="1">
        <v>9.7246033999999995E-2</v>
      </c>
      <c r="G445" s="1">
        <f t="shared" si="18"/>
        <v>0.65973986673999985</v>
      </c>
      <c r="H445">
        <f t="shared" si="19"/>
        <v>0.34026013326000015</v>
      </c>
      <c r="I445">
        <f t="shared" si="20"/>
        <v>34.026013326000012</v>
      </c>
    </row>
    <row r="446" spans="1:9" x14ac:dyDescent="0.2">
      <c r="A446" s="1" t="s">
        <v>1160</v>
      </c>
      <c r="B446" s="1" t="s">
        <v>1161</v>
      </c>
      <c r="C446" s="1" t="s">
        <v>1110</v>
      </c>
      <c r="D446" s="1" t="s">
        <v>1111</v>
      </c>
      <c r="E446" s="1">
        <v>0.78152387099999998</v>
      </c>
      <c r="F446" s="1">
        <v>0.105541261</v>
      </c>
      <c r="G446" s="1">
        <f t="shared" si="18"/>
        <v>0.70160569408999995</v>
      </c>
      <c r="H446">
        <f t="shared" si="19"/>
        <v>0.29839430591000005</v>
      </c>
      <c r="I446">
        <f t="shared" si="20"/>
        <v>29.839430591000003</v>
      </c>
    </row>
    <row r="447" spans="1:9" x14ac:dyDescent="0.2">
      <c r="A447" s="1" t="s">
        <v>754</v>
      </c>
      <c r="B447" s="1" t="s">
        <v>755</v>
      </c>
      <c r="C447" s="1" t="s">
        <v>54</v>
      </c>
      <c r="D447" s="1" t="s">
        <v>55</v>
      </c>
      <c r="E447" s="1">
        <v>0.81714644299999994</v>
      </c>
      <c r="F447" s="1">
        <v>7.6596226000000003E-2</v>
      </c>
      <c r="G447" s="1">
        <f t="shared" si="18"/>
        <v>0.55000401218000006</v>
      </c>
      <c r="H447">
        <f t="shared" si="19"/>
        <v>0.44999598781999994</v>
      </c>
      <c r="I447">
        <f t="shared" si="20"/>
        <v>44.999598781999993</v>
      </c>
    </row>
    <row r="448" spans="1:9" x14ac:dyDescent="0.2">
      <c r="A448" s="1" t="s">
        <v>756</v>
      </c>
      <c r="B448" s="1" t="s">
        <v>757</v>
      </c>
      <c r="C448" s="1" t="s">
        <v>34</v>
      </c>
      <c r="D448" s="1" t="s">
        <v>35</v>
      </c>
      <c r="E448" s="1">
        <v>0.88343000599999999</v>
      </c>
      <c r="F448" s="1">
        <v>4.9577237000000003E-2</v>
      </c>
      <c r="G448" s="1">
        <f t="shared" si="18"/>
        <v>0.35299743121000005</v>
      </c>
      <c r="H448">
        <f t="shared" si="19"/>
        <v>0.64700256878999995</v>
      </c>
      <c r="I448">
        <f t="shared" si="20"/>
        <v>64.700256878999994</v>
      </c>
    </row>
    <row r="449" spans="1:9" x14ac:dyDescent="0.2">
      <c r="A449" s="1" t="s">
        <v>758</v>
      </c>
      <c r="B449" s="1" t="s">
        <v>759</v>
      </c>
      <c r="C449" s="1" t="s">
        <v>6</v>
      </c>
      <c r="D449" s="1" t="s">
        <v>7</v>
      </c>
      <c r="E449" s="1">
        <v>0.82408396799999994</v>
      </c>
      <c r="F449" s="1">
        <v>7.3122747000000002E-2</v>
      </c>
      <c r="G449" s="1">
        <f t="shared" si="18"/>
        <v>0.5273380417500001</v>
      </c>
      <c r="H449">
        <f t="shared" si="19"/>
        <v>0.4726619582499999</v>
      </c>
      <c r="I449">
        <f t="shared" si="20"/>
        <v>47.26619582499999</v>
      </c>
    </row>
    <row r="450" spans="1:9" x14ac:dyDescent="0.2">
      <c r="A450" s="1" t="s">
        <v>760</v>
      </c>
      <c r="B450" s="1" t="s">
        <v>761</v>
      </c>
      <c r="C450" s="1" t="s">
        <v>6</v>
      </c>
      <c r="D450" s="1" t="s">
        <v>7</v>
      </c>
      <c r="E450" s="1">
        <v>0.823556132</v>
      </c>
      <c r="F450" s="1">
        <v>6.9843329999999995E-2</v>
      </c>
      <c r="G450" s="1">
        <f t="shared" si="18"/>
        <v>0.51782905433999993</v>
      </c>
      <c r="H450">
        <f t="shared" si="19"/>
        <v>0.48217094566000007</v>
      </c>
      <c r="I450">
        <f t="shared" si="20"/>
        <v>48.217094566000007</v>
      </c>
    </row>
    <row r="451" spans="1:9" x14ac:dyDescent="0.2">
      <c r="A451" s="1" t="s">
        <v>762</v>
      </c>
      <c r="B451" s="1" t="s">
        <v>763</v>
      </c>
      <c r="C451" s="1" t="s">
        <v>14</v>
      </c>
      <c r="D451" s="1" t="s">
        <v>15</v>
      </c>
      <c r="E451" s="1">
        <v>0.81175044399999996</v>
      </c>
      <c r="F451" s="1">
        <v>8.6296921999999998E-2</v>
      </c>
      <c r="G451" s="1">
        <f t="shared" ref="G451:G514" si="21">1.68*(1-E451)+3.17*F451</f>
        <v>0.58982049682000004</v>
      </c>
      <c r="H451">
        <f t="shared" ref="H451:H514" si="22">1-G451</f>
        <v>0.41017950317999996</v>
      </c>
      <c r="I451">
        <f t="shared" ref="I451:I514" si="23">100*H451</f>
        <v>41.017950317999997</v>
      </c>
    </row>
    <row r="452" spans="1:9" x14ac:dyDescent="0.2">
      <c r="A452" s="1" t="s">
        <v>764</v>
      </c>
      <c r="B452" s="1" t="s">
        <v>765</v>
      </c>
      <c r="C452" s="1" t="s">
        <v>34</v>
      </c>
      <c r="D452" s="1" t="s">
        <v>35</v>
      </c>
      <c r="E452" s="1">
        <v>0.882078692</v>
      </c>
      <c r="F452" s="1">
        <v>4.6568450999999997E-2</v>
      </c>
      <c r="G452" s="1">
        <f t="shared" si="21"/>
        <v>0.34572978710999996</v>
      </c>
      <c r="H452">
        <f t="shared" si="22"/>
        <v>0.65427021288999998</v>
      </c>
      <c r="I452">
        <f t="shared" si="23"/>
        <v>65.427021288999995</v>
      </c>
    </row>
    <row r="453" spans="1:9" x14ac:dyDescent="0.2">
      <c r="A453" s="1" t="s">
        <v>766</v>
      </c>
      <c r="B453" s="1" t="s">
        <v>767</v>
      </c>
      <c r="C453" s="1" t="s">
        <v>34</v>
      </c>
      <c r="D453" s="1" t="s">
        <v>35</v>
      </c>
      <c r="E453" s="1">
        <v>0.84752393800000003</v>
      </c>
      <c r="F453" s="1">
        <v>7.3390498999999998E-2</v>
      </c>
      <c r="G453" s="1">
        <f t="shared" si="21"/>
        <v>0.48880766598999992</v>
      </c>
      <c r="H453">
        <f t="shared" si="22"/>
        <v>0.51119233401000008</v>
      </c>
      <c r="I453">
        <f t="shared" si="23"/>
        <v>51.11923340100001</v>
      </c>
    </row>
    <row r="454" spans="1:9" x14ac:dyDescent="0.2">
      <c r="A454" s="1" t="s">
        <v>768</v>
      </c>
      <c r="B454" s="1" t="s">
        <v>769</v>
      </c>
      <c r="C454" s="1" t="s">
        <v>38</v>
      </c>
      <c r="D454" s="1" t="s">
        <v>39</v>
      </c>
      <c r="E454" s="1">
        <v>0.77667090999999999</v>
      </c>
      <c r="F454" s="1">
        <v>0.106015277</v>
      </c>
      <c r="G454" s="1">
        <f t="shared" si="21"/>
        <v>0.71126129929000004</v>
      </c>
      <c r="H454">
        <f t="shared" si="22"/>
        <v>0.28873870070999996</v>
      </c>
      <c r="I454">
        <f t="shared" si="23"/>
        <v>28.873870070999995</v>
      </c>
    </row>
    <row r="455" spans="1:9" x14ac:dyDescent="0.2">
      <c r="A455" s="1" t="s">
        <v>770</v>
      </c>
      <c r="B455" s="1" t="s">
        <v>771</v>
      </c>
      <c r="C455" s="1" t="s">
        <v>46</v>
      </c>
      <c r="D455" s="1" t="s">
        <v>47</v>
      </c>
      <c r="E455" s="1">
        <v>0.84517740200000002</v>
      </c>
      <c r="F455" s="1">
        <v>5.8909475000000003E-2</v>
      </c>
      <c r="G455" s="1">
        <f t="shared" si="21"/>
        <v>0.44684500038999997</v>
      </c>
      <c r="H455">
        <f t="shared" si="22"/>
        <v>0.55315499961000003</v>
      </c>
      <c r="I455">
        <f t="shared" si="23"/>
        <v>55.315499961</v>
      </c>
    </row>
    <row r="456" spans="1:9" x14ac:dyDescent="0.2">
      <c r="A456" s="1" t="s">
        <v>772</v>
      </c>
      <c r="B456" s="1" t="s">
        <v>773</v>
      </c>
      <c r="C456" s="1" t="s">
        <v>6</v>
      </c>
      <c r="D456" s="1" t="s">
        <v>7</v>
      </c>
      <c r="E456" s="1">
        <v>0.87070099300000003</v>
      </c>
      <c r="F456" s="1">
        <v>4.5626853000000002E-2</v>
      </c>
      <c r="G456" s="1">
        <f t="shared" si="21"/>
        <v>0.36185945576999995</v>
      </c>
      <c r="H456">
        <f t="shared" si="22"/>
        <v>0.63814054423000011</v>
      </c>
      <c r="I456">
        <f t="shared" si="23"/>
        <v>63.814054423000009</v>
      </c>
    </row>
    <row r="457" spans="1:9" x14ac:dyDescent="0.2">
      <c r="A457" s="1" t="s">
        <v>774</v>
      </c>
      <c r="B457" s="1" t="s">
        <v>775</v>
      </c>
      <c r="C457" s="1" t="s">
        <v>6</v>
      </c>
      <c r="D457" s="1" t="s">
        <v>7</v>
      </c>
      <c r="E457" s="1">
        <v>0.85598790400000002</v>
      </c>
      <c r="F457" s="1">
        <v>5.1909872000000003E-2</v>
      </c>
      <c r="G457" s="1">
        <f t="shared" si="21"/>
        <v>0.40649461551999999</v>
      </c>
      <c r="H457">
        <f t="shared" si="22"/>
        <v>0.59350538448000001</v>
      </c>
      <c r="I457">
        <f t="shared" si="23"/>
        <v>59.350538448000002</v>
      </c>
    </row>
    <row r="458" spans="1:9" x14ac:dyDescent="0.2">
      <c r="A458" s="1" t="s">
        <v>776</v>
      </c>
      <c r="B458" s="1" t="s">
        <v>777</v>
      </c>
      <c r="C458" s="1" t="s">
        <v>98</v>
      </c>
      <c r="D458" s="1" t="s">
        <v>99</v>
      </c>
      <c r="E458" s="1">
        <v>0.77419977299999998</v>
      </c>
      <c r="F458" s="1">
        <v>0.109416204</v>
      </c>
      <c r="G458" s="1">
        <f t="shared" si="21"/>
        <v>0.72619374804000003</v>
      </c>
      <c r="H458">
        <f t="shared" si="22"/>
        <v>0.27380625195999997</v>
      </c>
      <c r="I458">
        <f t="shared" si="23"/>
        <v>27.380625195999997</v>
      </c>
    </row>
    <row r="459" spans="1:9" x14ac:dyDescent="0.2">
      <c r="A459" s="1" t="s">
        <v>778</v>
      </c>
      <c r="B459" s="1" t="s">
        <v>779</v>
      </c>
      <c r="C459" s="1" t="s">
        <v>10</v>
      </c>
      <c r="D459" s="1" t="s">
        <v>11</v>
      </c>
      <c r="E459" s="1">
        <v>0.82549160499999996</v>
      </c>
      <c r="F459" s="1">
        <v>7.1855802999999996E-2</v>
      </c>
      <c r="G459" s="1">
        <f t="shared" si="21"/>
        <v>0.52095699911000004</v>
      </c>
      <c r="H459">
        <f t="shared" si="22"/>
        <v>0.47904300088999996</v>
      </c>
      <c r="I459">
        <f t="shared" si="23"/>
        <v>47.904300088999996</v>
      </c>
    </row>
    <row r="460" spans="1:9" x14ac:dyDescent="0.2">
      <c r="A460" s="1" t="s">
        <v>780</v>
      </c>
      <c r="B460" s="1" t="s">
        <v>781</v>
      </c>
      <c r="C460" s="1" t="s">
        <v>6</v>
      </c>
      <c r="D460" s="1" t="s">
        <v>7</v>
      </c>
      <c r="E460" s="1">
        <v>0.86145088800000003</v>
      </c>
      <c r="F460" s="1">
        <v>5.3072728999999999E-2</v>
      </c>
      <c r="G460" s="1">
        <f t="shared" si="21"/>
        <v>0.40100305908999989</v>
      </c>
      <c r="H460">
        <f t="shared" si="22"/>
        <v>0.59899694091000011</v>
      </c>
      <c r="I460">
        <f t="shared" si="23"/>
        <v>59.899694091000008</v>
      </c>
    </row>
    <row r="461" spans="1:9" x14ac:dyDescent="0.2">
      <c r="A461" s="1" t="s">
        <v>1162</v>
      </c>
      <c r="B461" s="1" t="s">
        <v>1163</v>
      </c>
      <c r="C461" s="1" t="s">
        <v>1110</v>
      </c>
      <c r="D461" s="1" t="s">
        <v>1111</v>
      </c>
      <c r="E461" s="1">
        <v>0.74614515999999997</v>
      </c>
      <c r="F461" s="1">
        <v>0.134447231</v>
      </c>
      <c r="G461" s="1">
        <f t="shared" si="21"/>
        <v>0.85267385347000002</v>
      </c>
      <c r="H461">
        <f t="shared" si="22"/>
        <v>0.14732614652999998</v>
      </c>
      <c r="I461">
        <f t="shared" si="23"/>
        <v>14.732614652999999</v>
      </c>
    </row>
    <row r="462" spans="1:9" x14ac:dyDescent="0.2">
      <c r="A462" s="1" t="s">
        <v>782</v>
      </c>
      <c r="B462" s="1" t="s">
        <v>783</v>
      </c>
      <c r="C462" s="1" t="s">
        <v>14</v>
      </c>
      <c r="D462" s="1" t="s">
        <v>15</v>
      </c>
      <c r="E462" s="1">
        <v>0.83894080400000004</v>
      </c>
      <c r="F462" s="1">
        <v>6.5230993000000001E-2</v>
      </c>
      <c r="G462" s="1">
        <f t="shared" si="21"/>
        <v>0.47736169708999993</v>
      </c>
      <c r="H462">
        <f t="shared" si="22"/>
        <v>0.52263830291000013</v>
      </c>
      <c r="I462">
        <f t="shared" si="23"/>
        <v>52.263830291000012</v>
      </c>
    </row>
    <row r="463" spans="1:9" x14ac:dyDescent="0.2">
      <c r="A463" s="1" t="s">
        <v>784</v>
      </c>
      <c r="B463" s="1" t="s">
        <v>785</v>
      </c>
      <c r="C463" s="1" t="s">
        <v>38</v>
      </c>
      <c r="D463" s="1" t="s">
        <v>39</v>
      </c>
      <c r="E463" s="1">
        <v>0.82908637600000001</v>
      </c>
      <c r="F463" s="1">
        <v>6.5332574000000004E-2</v>
      </c>
      <c r="G463" s="1">
        <f t="shared" si="21"/>
        <v>0.49423914789999995</v>
      </c>
      <c r="H463">
        <f t="shared" si="22"/>
        <v>0.5057608521000001</v>
      </c>
      <c r="I463">
        <f t="shared" si="23"/>
        <v>50.576085210000009</v>
      </c>
    </row>
    <row r="464" spans="1:9" x14ac:dyDescent="0.2">
      <c r="A464" s="1" t="s">
        <v>786</v>
      </c>
      <c r="B464" s="1" t="s">
        <v>787</v>
      </c>
      <c r="C464" s="1" t="s">
        <v>34</v>
      </c>
      <c r="D464" s="1" t="s">
        <v>35</v>
      </c>
      <c r="E464" s="1">
        <v>0.88585601300000005</v>
      </c>
      <c r="F464" s="1">
        <v>4.2948636999999998E-2</v>
      </c>
      <c r="G464" s="1">
        <f t="shared" si="21"/>
        <v>0.32790907744999992</v>
      </c>
      <c r="H464">
        <f t="shared" si="22"/>
        <v>0.67209092255000003</v>
      </c>
      <c r="I464">
        <f t="shared" si="23"/>
        <v>67.209092255000002</v>
      </c>
    </row>
    <row r="465" spans="1:9" x14ac:dyDescent="0.2">
      <c r="A465" s="1" t="s">
        <v>788</v>
      </c>
      <c r="B465" s="1" t="s">
        <v>789</v>
      </c>
      <c r="C465" s="1" t="s">
        <v>14</v>
      </c>
      <c r="D465" s="1" t="s">
        <v>15</v>
      </c>
      <c r="E465" s="1">
        <v>0.81383009699999997</v>
      </c>
      <c r="F465" s="1">
        <v>8.8235865999999996E-2</v>
      </c>
      <c r="G465" s="1">
        <f t="shared" si="21"/>
        <v>0.59247313226000009</v>
      </c>
      <c r="H465">
        <f t="shared" si="22"/>
        <v>0.40752686773999991</v>
      </c>
      <c r="I465">
        <f t="shared" si="23"/>
        <v>40.75268677399999</v>
      </c>
    </row>
    <row r="466" spans="1:9" x14ac:dyDescent="0.2">
      <c r="A466" s="1" t="s">
        <v>790</v>
      </c>
      <c r="B466" s="1" t="s">
        <v>791</v>
      </c>
      <c r="C466" s="1" t="s">
        <v>6</v>
      </c>
      <c r="D466" s="1" t="s">
        <v>7</v>
      </c>
      <c r="E466" s="1">
        <v>0.83142796100000005</v>
      </c>
      <c r="F466" s="1">
        <v>6.9039808999999994E-2</v>
      </c>
      <c r="G466" s="1">
        <f t="shared" si="21"/>
        <v>0.50205722004999986</v>
      </c>
      <c r="H466">
        <f t="shared" si="22"/>
        <v>0.49794277995000014</v>
      </c>
      <c r="I466">
        <f t="shared" si="23"/>
        <v>49.794277995000016</v>
      </c>
    </row>
    <row r="467" spans="1:9" x14ac:dyDescent="0.2">
      <c r="A467" s="1" t="s">
        <v>792</v>
      </c>
      <c r="B467" s="1" t="s">
        <v>793</v>
      </c>
      <c r="C467" s="1" t="s">
        <v>34</v>
      </c>
      <c r="D467" s="1" t="s">
        <v>35</v>
      </c>
      <c r="E467" s="1">
        <v>0.85745030700000002</v>
      </c>
      <c r="F467" s="1">
        <v>6.1488582999999999E-2</v>
      </c>
      <c r="G467" s="1">
        <f t="shared" si="21"/>
        <v>0.43440229234999994</v>
      </c>
      <c r="H467">
        <f t="shared" si="22"/>
        <v>0.56559770765000006</v>
      </c>
      <c r="I467">
        <f t="shared" si="23"/>
        <v>56.559770765000003</v>
      </c>
    </row>
    <row r="468" spans="1:9" x14ac:dyDescent="0.2">
      <c r="A468" s="1" t="s">
        <v>794</v>
      </c>
      <c r="B468" s="1" t="s">
        <v>795</v>
      </c>
      <c r="C468" s="1" t="s">
        <v>6</v>
      </c>
      <c r="D468" s="1" t="s">
        <v>7</v>
      </c>
      <c r="E468" s="1">
        <v>0.84264752099999995</v>
      </c>
      <c r="F468" s="1">
        <v>5.7771287999999997E-2</v>
      </c>
      <c r="G468" s="1">
        <f t="shared" si="21"/>
        <v>0.44748714768000009</v>
      </c>
      <c r="H468">
        <f t="shared" si="22"/>
        <v>0.55251285231999991</v>
      </c>
      <c r="I468">
        <f t="shared" si="23"/>
        <v>55.251285231999994</v>
      </c>
    </row>
    <row r="469" spans="1:9" x14ac:dyDescent="0.2">
      <c r="A469" s="1" t="s">
        <v>796</v>
      </c>
      <c r="B469" s="1" t="s">
        <v>797</v>
      </c>
      <c r="C469" s="1" t="s">
        <v>14</v>
      </c>
      <c r="D469" s="1" t="s">
        <v>15</v>
      </c>
      <c r="E469" s="1">
        <v>0.804936494</v>
      </c>
      <c r="F469" s="1">
        <v>8.7931918999999997E-2</v>
      </c>
      <c r="G469" s="1">
        <f t="shared" si="21"/>
        <v>0.60645087331000003</v>
      </c>
      <c r="H469">
        <f t="shared" si="22"/>
        <v>0.39354912668999997</v>
      </c>
      <c r="I469">
        <f t="shared" si="23"/>
        <v>39.354912669000001</v>
      </c>
    </row>
    <row r="470" spans="1:9" x14ac:dyDescent="0.2">
      <c r="A470" s="1" t="s">
        <v>798</v>
      </c>
      <c r="B470" s="1" t="s">
        <v>799</v>
      </c>
      <c r="C470" s="1" t="s">
        <v>38</v>
      </c>
      <c r="D470" s="1" t="s">
        <v>39</v>
      </c>
      <c r="E470" s="1">
        <v>0.79877676500000006</v>
      </c>
      <c r="F470" s="1">
        <v>9.0881340000000005E-2</v>
      </c>
      <c r="G470" s="1">
        <f t="shared" si="21"/>
        <v>0.6261488825999999</v>
      </c>
      <c r="H470">
        <f t="shared" si="22"/>
        <v>0.3738511174000001</v>
      </c>
      <c r="I470">
        <f t="shared" si="23"/>
        <v>37.385111740000013</v>
      </c>
    </row>
    <row r="471" spans="1:9" x14ac:dyDescent="0.2">
      <c r="A471" s="1" t="s">
        <v>800</v>
      </c>
      <c r="B471" s="1" t="s">
        <v>801</v>
      </c>
      <c r="C471" s="1" t="s">
        <v>38</v>
      </c>
      <c r="D471" s="1" t="s">
        <v>39</v>
      </c>
      <c r="E471" s="1">
        <v>0.78570636500000002</v>
      </c>
      <c r="F471" s="1">
        <v>0.10230465</v>
      </c>
      <c r="G471" s="1">
        <f t="shared" si="21"/>
        <v>0.68431904729999993</v>
      </c>
      <c r="H471">
        <f t="shared" si="22"/>
        <v>0.31568095270000007</v>
      </c>
      <c r="I471">
        <f t="shared" si="23"/>
        <v>31.568095270000008</v>
      </c>
    </row>
    <row r="472" spans="1:9" x14ac:dyDescent="0.2">
      <c r="A472" s="1" t="s">
        <v>802</v>
      </c>
      <c r="B472" s="1" t="s">
        <v>803</v>
      </c>
      <c r="C472" s="1" t="s">
        <v>10</v>
      </c>
      <c r="D472" s="1" t="s">
        <v>11</v>
      </c>
      <c r="E472" s="1">
        <v>0.83872147100000005</v>
      </c>
      <c r="F472" s="1">
        <v>6.2162384000000001E-2</v>
      </c>
      <c r="G472" s="1">
        <f t="shared" si="21"/>
        <v>0.46800268599999989</v>
      </c>
      <c r="H472">
        <f t="shared" si="22"/>
        <v>0.53199731400000005</v>
      </c>
      <c r="I472">
        <f t="shared" si="23"/>
        <v>53.199731400000005</v>
      </c>
    </row>
    <row r="473" spans="1:9" x14ac:dyDescent="0.2">
      <c r="A473" s="1" t="s">
        <v>804</v>
      </c>
      <c r="B473" s="1" t="s">
        <v>805</v>
      </c>
      <c r="C473" s="1" t="s">
        <v>34</v>
      </c>
      <c r="D473" s="1" t="s">
        <v>35</v>
      </c>
      <c r="E473" s="1">
        <v>0.86724139700000002</v>
      </c>
      <c r="F473" s="1">
        <v>5.4328998000000003E-2</v>
      </c>
      <c r="G473" s="1">
        <f t="shared" si="21"/>
        <v>0.39525737669999994</v>
      </c>
      <c r="H473">
        <f t="shared" si="22"/>
        <v>0.60474262330000006</v>
      </c>
      <c r="I473">
        <f t="shared" si="23"/>
        <v>60.474262330000009</v>
      </c>
    </row>
    <row r="474" spans="1:9" x14ac:dyDescent="0.2">
      <c r="A474" s="1" t="s">
        <v>806</v>
      </c>
      <c r="B474" s="1" t="s">
        <v>807</v>
      </c>
      <c r="C474" s="1" t="s">
        <v>14</v>
      </c>
      <c r="D474" s="1" t="s">
        <v>15</v>
      </c>
      <c r="E474" s="1">
        <v>0.78549417499999996</v>
      </c>
      <c r="F474" s="1">
        <v>9.9994631E-2</v>
      </c>
      <c r="G474" s="1">
        <f t="shared" si="21"/>
        <v>0.67735276627000007</v>
      </c>
      <c r="H474">
        <f t="shared" si="22"/>
        <v>0.32264723372999993</v>
      </c>
      <c r="I474">
        <f t="shared" si="23"/>
        <v>32.264723372999995</v>
      </c>
    </row>
    <row r="475" spans="1:9" x14ac:dyDescent="0.2">
      <c r="A475" s="1" t="s">
        <v>808</v>
      </c>
      <c r="B475" s="1" t="s">
        <v>809</v>
      </c>
      <c r="C475" s="1" t="s">
        <v>6</v>
      </c>
      <c r="D475" s="1" t="s">
        <v>7</v>
      </c>
      <c r="E475" s="1">
        <v>0.86426908700000005</v>
      </c>
      <c r="F475" s="1">
        <v>5.2145476000000003E-2</v>
      </c>
      <c r="G475" s="1">
        <f t="shared" si="21"/>
        <v>0.39332909275999994</v>
      </c>
      <c r="H475">
        <f t="shared" si="22"/>
        <v>0.60667090724000006</v>
      </c>
      <c r="I475">
        <f t="shared" si="23"/>
        <v>60.667090724000005</v>
      </c>
    </row>
    <row r="476" spans="1:9" x14ac:dyDescent="0.2">
      <c r="A476" s="1" t="s">
        <v>810</v>
      </c>
      <c r="B476" s="1" t="s">
        <v>811</v>
      </c>
      <c r="C476" s="1" t="s">
        <v>18</v>
      </c>
      <c r="D476" s="1" t="s">
        <v>19</v>
      </c>
      <c r="E476" s="1">
        <v>0.841684706</v>
      </c>
      <c r="F476" s="1">
        <v>6.0303463000000002E-2</v>
      </c>
      <c r="G476" s="1">
        <f t="shared" si="21"/>
        <v>0.45713167163000001</v>
      </c>
      <c r="H476">
        <f t="shared" si="22"/>
        <v>0.54286832836999999</v>
      </c>
      <c r="I476">
        <f t="shared" si="23"/>
        <v>54.286832836999999</v>
      </c>
    </row>
    <row r="477" spans="1:9" x14ac:dyDescent="0.2">
      <c r="A477" s="1" t="s">
        <v>1274</v>
      </c>
      <c r="B477" s="1" t="s">
        <v>1275</v>
      </c>
      <c r="C477" s="1" t="s">
        <v>1176</v>
      </c>
      <c r="D477" s="1" t="s">
        <v>1177</v>
      </c>
      <c r="E477" s="1">
        <v>0.74717009300000004</v>
      </c>
      <c r="F477" s="1">
        <v>0.123353</v>
      </c>
      <c r="G477" s="1">
        <f t="shared" si="21"/>
        <v>0.81578325375999994</v>
      </c>
      <c r="H477">
        <f t="shared" si="22"/>
        <v>0.18421674624000006</v>
      </c>
      <c r="I477">
        <f t="shared" si="23"/>
        <v>18.421674624000005</v>
      </c>
    </row>
    <row r="478" spans="1:9" x14ac:dyDescent="0.2">
      <c r="A478" s="1" t="s">
        <v>812</v>
      </c>
      <c r="B478" s="1" t="s">
        <v>813</v>
      </c>
      <c r="C478" s="1" t="s">
        <v>18</v>
      </c>
      <c r="D478" s="1" t="s">
        <v>19</v>
      </c>
      <c r="E478" s="1">
        <v>0.83925804900000001</v>
      </c>
      <c r="F478" s="1">
        <v>5.7938411000000002E-2</v>
      </c>
      <c r="G478" s="1">
        <f t="shared" si="21"/>
        <v>0.45371124054999995</v>
      </c>
      <c r="H478">
        <f t="shared" si="22"/>
        <v>0.54628875945000011</v>
      </c>
      <c r="I478">
        <f t="shared" si="23"/>
        <v>54.628875945000011</v>
      </c>
    </row>
    <row r="479" spans="1:9" x14ac:dyDescent="0.2">
      <c r="A479" s="1" t="s">
        <v>814</v>
      </c>
      <c r="B479" s="1" t="s">
        <v>815</v>
      </c>
      <c r="C479" s="1" t="s">
        <v>14</v>
      </c>
      <c r="D479" s="1" t="s">
        <v>15</v>
      </c>
      <c r="E479" s="1">
        <v>0.82051112000000004</v>
      </c>
      <c r="F479" s="1">
        <v>8.2298213999999995E-2</v>
      </c>
      <c r="G479" s="1">
        <f t="shared" si="21"/>
        <v>0.56242665677999992</v>
      </c>
      <c r="H479">
        <f t="shared" si="22"/>
        <v>0.43757334322000008</v>
      </c>
      <c r="I479">
        <f t="shared" si="23"/>
        <v>43.757334322000005</v>
      </c>
    </row>
    <row r="480" spans="1:9" x14ac:dyDescent="0.2">
      <c r="A480" s="1" t="s">
        <v>816</v>
      </c>
      <c r="B480" s="1" t="s">
        <v>817</v>
      </c>
      <c r="C480" s="1" t="s">
        <v>54</v>
      </c>
      <c r="D480" s="1" t="s">
        <v>55</v>
      </c>
      <c r="E480" s="1">
        <v>0.82577206999999997</v>
      </c>
      <c r="F480" s="1">
        <v>6.4705818999999998E-2</v>
      </c>
      <c r="G480" s="1">
        <f t="shared" si="21"/>
        <v>0.49782036863000007</v>
      </c>
      <c r="H480">
        <f t="shared" si="22"/>
        <v>0.50217963136999999</v>
      </c>
      <c r="I480">
        <f t="shared" si="23"/>
        <v>50.217963136999998</v>
      </c>
    </row>
    <row r="481" spans="1:9" x14ac:dyDescent="0.2">
      <c r="A481" s="1" t="s">
        <v>818</v>
      </c>
      <c r="B481" s="1" t="s">
        <v>819</v>
      </c>
      <c r="C481" s="1" t="s">
        <v>38</v>
      </c>
      <c r="D481" s="1" t="s">
        <v>39</v>
      </c>
      <c r="E481" s="1">
        <v>0.78300149200000002</v>
      </c>
      <c r="F481" s="1">
        <v>9.2596594000000004E-2</v>
      </c>
      <c r="G481" s="1">
        <f t="shared" si="21"/>
        <v>0.6580886964199999</v>
      </c>
      <c r="H481">
        <f t="shared" si="22"/>
        <v>0.3419113035800001</v>
      </c>
      <c r="I481">
        <f t="shared" si="23"/>
        <v>34.191130358000009</v>
      </c>
    </row>
    <row r="482" spans="1:9" x14ac:dyDescent="0.2">
      <c r="A482" s="1" t="s">
        <v>820</v>
      </c>
      <c r="B482" s="1" t="s">
        <v>821</v>
      </c>
      <c r="C482" s="1" t="s">
        <v>38</v>
      </c>
      <c r="D482" s="1" t="s">
        <v>39</v>
      </c>
      <c r="E482" s="1">
        <v>0.80105451800000005</v>
      </c>
      <c r="F482" s="1">
        <v>8.8903851000000006E-2</v>
      </c>
      <c r="G482" s="1">
        <f t="shared" si="21"/>
        <v>0.61605361742999998</v>
      </c>
      <c r="H482">
        <f t="shared" si="22"/>
        <v>0.38394638257000002</v>
      </c>
      <c r="I482">
        <f t="shared" si="23"/>
        <v>38.394638257000004</v>
      </c>
    </row>
    <row r="483" spans="1:9" x14ac:dyDescent="0.2">
      <c r="A483" s="1" t="s">
        <v>822</v>
      </c>
      <c r="B483" s="1" t="s">
        <v>823</v>
      </c>
      <c r="C483" s="1" t="s">
        <v>14</v>
      </c>
      <c r="D483" s="1" t="s">
        <v>15</v>
      </c>
      <c r="E483" s="1">
        <v>0.80610873699999996</v>
      </c>
      <c r="F483" s="1">
        <v>9.0177116000000002E-2</v>
      </c>
      <c r="G483" s="1">
        <f t="shared" si="21"/>
        <v>0.61159877955999997</v>
      </c>
      <c r="H483">
        <f t="shared" si="22"/>
        <v>0.38840122044000003</v>
      </c>
      <c r="I483">
        <f t="shared" si="23"/>
        <v>38.840122044000005</v>
      </c>
    </row>
    <row r="484" spans="1:9" x14ac:dyDescent="0.2">
      <c r="A484" s="1" t="s">
        <v>824</v>
      </c>
      <c r="B484" s="1" t="s">
        <v>825</v>
      </c>
      <c r="C484" s="1" t="s">
        <v>38</v>
      </c>
      <c r="D484" s="1" t="s">
        <v>39</v>
      </c>
      <c r="E484" s="1">
        <v>0.832575014</v>
      </c>
      <c r="F484" s="1">
        <v>6.6900606000000001E-2</v>
      </c>
      <c r="G484" s="1">
        <f t="shared" si="21"/>
        <v>0.49334889749999999</v>
      </c>
      <c r="H484">
        <f t="shared" si="22"/>
        <v>0.50665110250000001</v>
      </c>
      <c r="I484">
        <f t="shared" si="23"/>
        <v>50.665110249999998</v>
      </c>
    </row>
    <row r="485" spans="1:9" x14ac:dyDescent="0.2">
      <c r="A485" s="1" t="s">
        <v>826</v>
      </c>
      <c r="B485" s="1" t="s">
        <v>827</v>
      </c>
      <c r="C485" s="1" t="s">
        <v>6</v>
      </c>
      <c r="D485" s="1" t="s">
        <v>7</v>
      </c>
      <c r="E485" s="1">
        <v>0.85112543100000004</v>
      </c>
      <c r="F485" s="1">
        <v>5.8277120000000002E-2</v>
      </c>
      <c r="G485" s="1">
        <f t="shared" si="21"/>
        <v>0.43484774631999989</v>
      </c>
      <c r="H485">
        <f t="shared" si="22"/>
        <v>0.56515225368000011</v>
      </c>
      <c r="I485">
        <f t="shared" si="23"/>
        <v>56.51522536800001</v>
      </c>
    </row>
    <row r="486" spans="1:9" x14ac:dyDescent="0.2">
      <c r="A486" s="1" t="s">
        <v>828</v>
      </c>
      <c r="B486" s="1" t="s">
        <v>829</v>
      </c>
      <c r="C486" s="1" t="s">
        <v>38</v>
      </c>
      <c r="D486" s="1" t="s">
        <v>39</v>
      </c>
      <c r="E486" s="1">
        <v>0.78385721900000005</v>
      </c>
      <c r="F486" s="1">
        <v>0.10443190400000001</v>
      </c>
      <c r="G486" s="1">
        <f t="shared" si="21"/>
        <v>0.6941690077599999</v>
      </c>
      <c r="H486">
        <f t="shared" si="22"/>
        <v>0.3058309922400001</v>
      </c>
      <c r="I486">
        <f t="shared" si="23"/>
        <v>30.583099224000009</v>
      </c>
    </row>
    <row r="487" spans="1:9" x14ac:dyDescent="0.2">
      <c r="A487" s="1" t="s">
        <v>830</v>
      </c>
      <c r="B487" s="1" t="s">
        <v>831</v>
      </c>
      <c r="C487" s="1" t="s">
        <v>38</v>
      </c>
      <c r="D487" s="1" t="s">
        <v>39</v>
      </c>
      <c r="E487" s="1">
        <v>0.83414493099999998</v>
      </c>
      <c r="F487" s="1">
        <v>5.8446179000000001E-2</v>
      </c>
      <c r="G487" s="1">
        <f t="shared" si="21"/>
        <v>0.46391090335000007</v>
      </c>
      <c r="H487">
        <f t="shared" si="22"/>
        <v>0.53608909664999993</v>
      </c>
      <c r="I487">
        <f t="shared" si="23"/>
        <v>53.608909664999992</v>
      </c>
    </row>
    <row r="488" spans="1:9" x14ac:dyDescent="0.2">
      <c r="A488" s="1" t="s">
        <v>832</v>
      </c>
      <c r="B488" s="1" t="s">
        <v>833</v>
      </c>
      <c r="C488" s="1" t="s">
        <v>38</v>
      </c>
      <c r="D488" s="1" t="s">
        <v>39</v>
      </c>
      <c r="E488" s="1">
        <v>0.84090395699999998</v>
      </c>
      <c r="F488" s="1">
        <v>5.4684894999999997E-2</v>
      </c>
      <c r="G488" s="1">
        <f t="shared" si="21"/>
        <v>0.44063246939</v>
      </c>
      <c r="H488">
        <f t="shared" si="22"/>
        <v>0.55936753061</v>
      </c>
      <c r="I488">
        <f t="shared" si="23"/>
        <v>55.936753060999997</v>
      </c>
    </row>
    <row r="489" spans="1:9" x14ac:dyDescent="0.2">
      <c r="A489" s="1" t="s">
        <v>834</v>
      </c>
      <c r="B489" s="1" t="s">
        <v>835</v>
      </c>
      <c r="C489" s="1" t="s">
        <v>38</v>
      </c>
      <c r="D489" s="1" t="s">
        <v>39</v>
      </c>
      <c r="E489" s="1">
        <v>0.77734142100000003</v>
      </c>
      <c r="F489" s="1">
        <v>0.100754213</v>
      </c>
      <c r="G489" s="1">
        <f t="shared" si="21"/>
        <v>0.69345726792999995</v>
      </c>
      <c r="H489">
        <f t="shared" si="22"/>
        <v>0.30654273207000005</v>
      </c>
      <c r="I489">
        <f t="shared" si="23"/>
        <v>30.654273207000003</v>
      </c>
    </row>
    <row r="490" spans="1:9" x14ac:dyDescent="0.2">
      <c r="A490" s="1" t="s">
        <v>836</v>
      </c>
      <c r="B490" s="1" t="s">
        <v>837</v>
      </c>
      <c r="C490" s="1" t="s">
        <v>38</v>
      </c>
      <c r="D490" s="1" t="s">
        <v>39</v>
      </c>
      <c r="E490" s="1">
        <v>0.79263629199999996</v>
      </c>
      <c r="F490" s="1">
        <v>9.5303522000000002E-2</v>
      </c>
      <c r="G490" s="1">
        <f t="shared" si="21"/>
        <v>0.65048319418</v>
      </c>
      <c r="H490">
        <f t="shared" si="22"/>
        <v>0.34951680582</v>
      </c>
      <c r="I490">
        <f t="shared" si="23"/>
        <v>34.951680582000002</v>
      </c>
    </row>
    <row r="491" spans="1:9" x14ac:dyDescent="0.2">
      <c r="A491" s="1" t="s">
        <v>838</v>
      </c>
      <c r="B491" s="1" t="s">
        <v>839</v>
      </c>
      <c r="C491" s="1" t="s">
        <v>18</v>
      </c>
      <c r="D491" s="1" t="s">
        <v>19</v>
      </c>
      <c r="E491" s="1">
        <v>0.79028607500000003</v>
      </c>
      <c r="F491" s="1">
        <v>9.2699984999999999E-2</v>
      </c>
      <c r="G491" s="1">
        <f t="shared" si="21"/>
        <v>0.64617834644999994</v>
      </c>
      <c r="H491">
        <f t="shared" si="22"/>
        <v>0.35382165355000006</v>
      </c>
      <c r="I491">
        <f t="shared" si="23"/>
        <v>35.382165355000005</v>
      </c>
    </row>
    <row r="492" spans="1:9" x14ac:dyDescent="0.2">
      <c r="A492" s="1" t="s">
        <v>840</v>
      </c>
      <c r="B492" s="1" t="s">
        <v>841</v>
      </c>
      <c r="C492" s="1" t="s">
        <v>38</v>
      </c>
      <c r="D492" s="1" t="s">
        <v>39</v>
      </c>
      <c r="E492" s="1">
        <v>0.825973599</v>
      </c>
      <c r="F492" s="1">
        <v>7.1113301000000004E-2</v>
      </c>
      <c r="G492" s="1">
        <f t="shared" si="21"/>
        <v>0.51779351784999994</v>
      </c>
      <c r="H492">
        <f t="shared" si="22"/>
        <v>0.48220648215000006</v>
      </c>
      <c r="I492">
        <f t="shared" si="23"/>
        <v>48.220648215000004</v>
      </c>
    </row>
    <row r="493" spans="1:9" x14ac:dyDescent="0.2">
      <c r="A493" s="1" t="s">
        <v>842</v>
      </c>
      <c r="B493" s="1" t="s">
        <v>843</v>
      </c>
      <c r="C493" s="1" t="s">
        <v>10</v>
      </c>
      <c r="D493" s="1" t="s">
        <v>11</v>
      </c>
      <c r="E493" s="1">
        <v>0.81838522499999999</v>
      </c>
      <c r="F493" s="1">
        <v>7.3866530999999999E-2</v>
      </c>
      <c r="G493" s="1">
        <f t="shared" si="21"/>
        <v>0.53926972527000006</v>
      </c>
      <c r="H493">
        <f t="shared" si="22"/>
        <v>0.46073027472999994</v>
      </c>
      <c r="I493">
        <f t="shared" si="23"/>
        <v>46.073027472999996</v>
      </c>
    </row>
    <row r="494" spans="1:9" x14ac:dyDescent="0.2">
      <c r="A494" s="1" t="s">
        <v>844</v>
      </c>
      <c r="B494" s="1" t="s">
        <v>845</v>
      </c>
      <c r="C494" s="1" t="s">
        <v>6</v>
      </c>
      <c r="D494" s="1" t="s">
        <v>7</v>
      </c>
      <c r="E494" s="1">
        <v>0.8021838</v>
      </c>
      <c r="F494" s="1">
        <v>8.6865343999999997E-2</v>
      </c>
      <c r="G494" s="1">
        <f t="shared" si="21"/>
        <v>0.60769435647999992</v>
      </c>
      <c r="H494">
        <f t="shared" si="22"/>
        <v>0.39230564352000008</v>
      </c>
      <c r="I494">
        <f t="shared" si="23"/>
        <v>39.230564352000009</v>
      </c>
    </row>
    <row r="495" spans="1:9" x14ac:dyDescent="0.2">
      <c r="A495" s="1" t="s">
        <v>846</v>
      </c>
      <c r="B495" s="1" t="s">
        <v>847</v>
      </c>
      <c r="C495" s="1" t="s">
        <v>38</v>
      </c>
      <c r="D495" s="1" t="s">
        <v>39</v>
      </c>
      <c r="E495" s="1">
        <v>0.83281749599999999</v>
      </c>
      <c r="F495" s="1">
        <v>6.1244567999999999E-2</v>
      </c>
      <c r="G495" s="1">
        <f t="shared" si="21"/>
        <v>0.47501188727999999</v>
      </c>
      <c r="H495">
        <f t="shared" si="22"/>
        <v>0.52498811272000001</v>
      </c>
      <c r="I495">
        <f t="shared" si="23"/>
        <v>52.498811271999998</v>
      </c>
    </row>
    <row r="496" spans="1:9" x14ac:dyDescent="0.2">
      <c r="A496" s="1" t="s">
        <v>848</v>
      </c>
      <c r="B496" s="1" t="s">
        <v>849</v>
      </c>
      <c r="C496" s="1" t="s">
        <v>18</v>
      </c>
      <c r="D496" s="1" t="s">
        <v>19</v>
      </c>
      <c r="E496" s="1">
        <v>0.81251102799999997</v>
      </c>
      <c r="F496" s="1">
        <v>7.4719503000000007E-2</v>
      </c>
      <c r="G496" s="1">
        <f t="shared" si="21"/>
        <v>0.55184229747000013</v>
      </c>
      <c r="H496">
        <f t="shared" si="22"/>
        <v>0.44815770252999987</v>
      </c>
      <c r="I496">
        <f t="shared" si="23"/>
        <v>44.81577025299999</v>
      </c>
    </row>
    <row r="497" spans="1:9" x14ac:dyDescent="0.2">
      <c r="A497" s="1" t="s">
        <v>850</v>
      </c>
      <c r="B497" s="1" t="s">
        <v>851</v>
      </c>
      <c r="C497" s="1" t="s">
        <v>6</v>
      </c>
      <c r="D497" s="1" t="s">
        <v>7</v>
      </c>
      <c r="E497" s="1">
        <v>0.88766258799999997</v>
      </c>
      <c r="F497" s="1">
        <v>4.9214415999999997E-2</v>
      </c>
      <c r="G497" s="1">
        <f t="shared" si="21"/>
        <v>0.34473655087999999</v>
      </c>
      <c r="H497">
        <f t="shared" si="22"/>
        <v>0.65526344912000001</v>
      </c>
      <c r="I497">
        <f t="shared" si="23"/>
        <v>65.526344911999999</v>
      </c>
    </row>
    <row r="498" spans="1:9" x14ac:dyDescent="0.2">
      <c r="A498" s="1" t="s">
        <v>852</v>
      </c>
      <c r="B498" s="1" t="s">
        <v>853</v>
      </c>
      <c r="C498" s="1" t="s">
        <v>10</v>
      </c>
      <c r="D498" s="1" t="s">
        <v>11</v>
      </c>
      <c r="E498" s="1">
        <v>0.831393881</v>
      </c>
      <c r="F498" s="1">
        <v>8.0577918999999998E-2</v>
      </c>
      <c r="G498" s="1">
        <f t="shared" si="21"/>
        <v>0.53869028315</v>
      </c>
      <c r="H498">
        <f t="shared" si="22"/>
        <v>0.46130971685</v>
      </c>
      <c r="I498">
        <f t="shared" si="23"/>
        <v>46.130971684999999</v>
      </c>
    </row>
    <row r="499" spans="1:9" x14ac:dyDescent="0.2">
      <c r="A499" s="1" t="s">
        <v>854</v>
      </c>
      <c r="B499" s="1" t="s">
        <v>855</v>
      </c>
      <c r="C499" s="1" t="s">
        <v>10</v>
      </c>
      <c r="D499" s="1" t="s">
        <v>11</v>
      </c>
      <c r="E499" s="1">
        <v>0.84560750100000004</v>
      </c>
      <c r="F499" s="1">
        <v>6.2309175000000001E-2</v>
      </c>
      <c r="G499" s="1">
        <f t="shared" si="21"/>
        <v>0.45689948306999989</v>
      </c>
      <c r="H499">
        <f t="shared" si="22"/>
        <v>0.54310051693000005</v>
      </c>
      <c r="I499">
        <f t="shared" si="23"/>
        <v>54.310051693000005</v>
      </c>
    </row>
    <row r="500" spans="1:9" x14ac:dyDescent="0.2">
      <c r="A500" s="1" t="s">
        <v>856</v>
      </c>
      <c r="B500" s="1" t="s">
        <v>857</v>
      </c>
      <c r="C500" s="1" t="s">
        <v>46</v>
      </c>
      <c r="D500" s="1" t="s">
        <v>47</v>
      </c>
      <c r="E500" s="1">
        <v>0.82938608199999997</v>
      </c>
      <c r="F500" s="1">
        <v>7.3189241000000002E-2</v>
      </c>
      <c r="G500" s="1">
        <f t="shared" si="21"/>
        <v>0.51864127621000011</v>
      </c>
      <c r="H500">
        <f t="shared" si="22"/>
        <v>0.48135872378999989</v>
      </c>
      <c r="I500">
        <f t="shared" si="23"/>
        <v>48.135872378999991</v>
      </c>
    </row>
    <row r="501" spans="1:9" x14ac:dyDescent="0.2">
      <c r="A501" s="1" t="s">
        <v>858</v>
      </c>
      <c r="B501" s="1" t="s">
        <v>859</v>
      </c>
      <c r="C501" s="1" t="s">
        <v>46</v>
      </c>
      <c r="D501" s="1" t="s">
        <v>47</v>
      </c>
      <c r="E501" s="1">
        <v>0.84983605299999998</v>
      </c>
      <c r="F501" s="1">
        <v>5.4073889999999999E-2</v>
      </c>
      <c r="G501" s="1">
        <f t="shared" si="21"/>
        <v>0.42368966226000004</v>
      </c>
      <c r="H501">
        <f t="shared" si="22"/>
        <v>0.57631033773999996</v>
      </c>
      <c r="I501">
        <f t="shared" si="23"/>
        <v>57.631033773999995</v>
      </c>
    </row>
    <row r="502" spans="1:9" x14ac:dyDescent="0.2">
      <c r="A502" s="1" t="s">
        <v>860</v>
      </c>
      <c r="B502" s="1" t="s">
        <v>861</v>
      </c>
      <c r="C502" s="1" t="s">
        <v>54</v>
      </c>
      <c r="D502" s="1" t="s">
        <v>55</v>
      </c>
      <c r="E502" s="1">
        <v>0.84788634100000004</v>
      </c>
      <c r="F502" s="1">
        <v>5.4534105999999999E-2</v>
      </c>
      <c r="G502" s="1">
        <f t="shared" si="21"/>
        <v>0.42842406313999992</v>
      </c>
      <c r="H502">
        <f t="shared" si="22"/>
        <v>0.57157593686000008</v>
      </c>
      <c r="I502">
        <f t="shared" si="23"/>
        <v>57.157593686000006</v>
      </c>
    </row>
    <row r="503" spans="1:9" x14ac:dyDescent="0.2">
      <c r="A503" s="1" t="s">
        <v>862</v>
      </c>
      <c r="B503" s="1" t="s">
        <v>863</v>
      </c>
      <c r="C503" s="1" t="s">
        <v>18</v>
      </c>
      <c r="D503" s="1" t="s">
        <v>19</v>
      </c>
      <c r="E503" s="1">
        <v>0.82493581699999996</v>
      </c>
      <c r="F503" s="1">
        <v>7.0860318000000005E-2</v>
      </c>
      <c r="G503" s="1">
        <f t="shared" si="21"/>
        <v>0.51873503550000011</v>
      </c>
      <c r="H503">
        <f t="shared" si="22"/>
        <v>0.48126496449999989</v>
      </c>
      <c r="I503">
        <f t="shared" si="23"/>
        <v>48.126496449999991</v>
      </c>
    </row>
    <row r="504" spans="1:9" x14ac:dyDescent="0.2">
      <c r="A504" s="1" t="s">
        <v>864</v>
      </c>
      <c r="B504" s="1" t="s">
        <v>865</v>
      </c>
      <c r="C504" s="1" t="s">
        <v>54</v>
      </c>
      <c r="D504" s="1" t="s">
        <v>55</v>
      </c>
      <c r="E504" s="1">
        <v>0.78643731400000005</v>
      </c>
      <c r="F504" s="1">
        <v>8.9888631999999996E-2</v>
      </c>
      <c r="G504" s="1">
        <f t="shared" si="21"/>
        <v>0.64373227591999993</v>
      </c>
      <c r="H504">
        <f t="shared" si="22"/>
        <v>0.35626772408000007</v>
      </c>
      <c r="I504">
        <f t="shared" si="23"/>
        <v>35.626772408000008</v>
      </c>
    </row>
    <row r="505" spans="1:9" x14ac:dyDescent="0.2">
      <c r="A505" s="1" t="s">
        <v>866</v>
      </c>
      <c r="B505" s="1" t="s">
        <v>867</v>
      </c>
      <c r="C505" s="1" t="s">
        <v>54</v>
      </c>
      <c r="D505" s="1" t="s">
        <v>55</v>
      </c>
      <c r="E505" s="1">
        <v>0.78012289899999998</v>
      </c>
      <c r="F505" s="1">
        <v>8.9401249000000002E-2</v>
      </c>
      <c r="G505" s="1">
        <f t="shared" si="21"/>
        <v>0.65279548901000006</v>
      </c>
      <c r="H505">
        <f t="shared" si="22"/>
        <v>0.34720451098999994</v>
      </c>
      <c r="I505">
        <f t="shared" si="23"/>
        <v>34.720451098999995</v>
      </c>
    </row>
    <row r="506" spans="1:9" x14ac:dyDescent="0.2">
      <c r="A506" s="1" t="s">
        <v>868</v>
      </c>
      <c r="B506" s="1" t="s">
        <v>869</v>
      </c>
      <c r="C506" s="1" t="s">
        <v>54</v>
      </c>
      <c r="D506" s="1" t="s">
        <v>55</v>
      </c>
      <c r="E506" s="1">
        <v>0.78324446199999997</v>
      </c>
      <c r="F506" s="1">
        <v>9.1539772000000005E-2</v>
      </c>
      <c r="G506" s="1">
        <f t="shared" si="21"/>
        <v>0.65433038108000008</v>
      </c>
      <c r="H506">
        <f t="shared" si="22"/>
        <v>0.34566961891999992</v>
      </c>
      <c r="I506">
        <f t="shared" si="23"/>
        <v>34.566961891999995</v>
      </c>
    </row>
    <row r="507" spans="1:9" x14ac:dyDescent="0.2">
      <c r="A507" s="1" t="s">
        <v>870</v>
      </c>
      <c r="B507" s="1" t="s">
        <v>871</v>
      </c>
      <c r="C507" s="1" t="s">
        <v>18</v>
      </c>
      <c r="D507" s="1" t="s">
        <v>19</v>
      </c>
      <c r="E507" s="1">
        <v>0.81459796699999998</v>
      </c>
      <c r="F507" s="1">
        <v>7.7017929999999998E-2</v>
      </c>
      <c r="G507" s="1">
        <f t="shared" si="21"/>
        <v>0.55562225353999994</v>
      </c>
      <c r="H507">
        <f t="shared" si="22"/>
        <v>0.44437774646000006</v>
      </c>
      <c r="I507">
        <f t="shared" si="23"/>
        <v>44.437774646000008</v>
      </c>
    </row>
    <row r="508" spans="1:9" x14ac:dyDescent="0.2">
      <c r="A508" s="1" t="s">
        <v>872</v>
      </c>
      <c r="B508" s="1" t="s">
        <v>873</v>
      </c>
      <c r="C508" s="1" t="s">
        <v>18</v>
      </c>
      <c r="D508" s="1" t="s">
        <v>19</v>
      </c>
      <c r="E508" s="1">
        <v>0.84652060799999995</v>
      </c>
      <c r="F508" s="1">
        <v>5.7008037999999997E-2</v>
      </c>
      <c r="G508" s="1">
        <f t="shared" si="21"/>
        <v>0.43856085902000008</v>
      </c>
      <c r="H508">
        <f t="shared" si="22"/>
        <v>0.56143914097999992</v>
      </c>
      <c r="I508">
        <f t="shared" si="23"/>
        <v>56.143914097999989</v>
      </c>
    </row>
    <row r="509" spans="1:9" x14ac:dyDescent="0.2">
      <c r="A509" s="1" t="s">
        <v>874</v>
      </c>
      <c r="B509" s="1" t="s">
        <v>875</v>
      </c>
      <c r="C509" s="1" t="s">
        <v>46</v>
      </c>
      <c r="D509" s="1" t="s">
        <v>47</v>
      </c>
      <c r="E509" s="1">
        <v>0.83162250900000001</v>
      </c>
      <c r="F509" s="1">
        <v>6.3534597999999998E-2</v>
      </c>
      <c r="G509" s="1">
        <f t="shared" si="21"/>
        <v>0.48427886053999997</v>
      </c>
      <c r="H509">
        <f t="shared" si="22"/>
        <v>0.51572113946000009</v>
      </c>
      <c r="I509">
        <f t="shared" si="23"/>
        <v>51.572113946000009</v>
      </c>
    </row>
    <row r="510" spans="1:9" x14ac:dyDescent="0.2">
      <c r="A510" s="1" t="s">
        <v>876</v>
      </c>
      <c r="B510" s="1" t="s">
        <v>877</v>
      </c>
      <c r="C510" s="1" t="s">
        <v>18</v>
      </c>
      <c r="D510" s="1" t="s">
        <v>19</v>
      </c>
      <c r="E510" s="1">
        <v>0.85322410699999995</v>
      </c>
      <c r="F510" s="1">
        <v>5.210559E-2</v>
      </c>
      <c r="G510" s="1">
        <f t="shared" si="21"/>
        <v>0.41175822054000005</v>
      </c>
      <c r="H510">
        <f t="shared" si="22"/>
        <v>0.58824177945999989</v>
      </c>
      <c r="I510">
        <f t="shared" si="23"/>
        <v>58.824177945999992</v>
      </c>
    </row>
    <row r="511" spans="1:9" x14ac:dyDescent="0.2">
      <c r="A511" s="1" t="s">
        <v>878</v>
      </c>
      <c r="B511" s="1" t="s">
        <v>879</v>
      </c>
      <c r="C511" s="1" t="s">
        <v>14</v>
      </c>
      <c r="D511" s="1" t="s">
        <v>15</v>
      </c>
      <c r="E511" s="1">
        <v>0.81451996100000001</v>
      </c>
      <c r="F511" s="1">
        <v>7.4447529999999998E-2</v>
      </c>
      <c r="G511" s="1">
        <f t="shared" si="21"/>
        <v>0.54760513562000002</v>
      </c>
      <c r="H511">
        <f t="shared" si="22"/>
        <v>0.45239486437999998</v>
      </c>
      <c r="I511">
        <f t="shared" si="23"/>
        <v>45.239486438</v>
      </c>
    </row>
    <row r="512" spans="1:9" x14ac:dyDescent="0.2">
      <c r="A512" s="1" t="s">
        <v>880</v>
      </c>
      <c r="B512" s="1" t="s">
        <v>881</v>
      </c>
      <c r="C512" s="1" t="s">
        <v>98</v>
      </c>
      <c r="D512" s="1" t="s">
        <v>99</v>
      </c>
      <c r="E512" s="1">
        <v>0.77540468399999996</v>
      </c>
      <c r="F512" s="1">
        <v>0.107251079</v>
      </c>
      <c r="G512" s="1">
        <f t="shared" si="21"/>
        <v>0.71730605131000003</v>
      </c>
      <c r="H512">
        <f t="shared" si="22"/>
        <v>0.28269394868999997</v>
      </c>
      <c r="I512">
        <f t="shared" si="23"/>
        <v>28.269394868999996</v>
      </c>
    </row>
    <row r="513" spans="1:9" x14ac:dyDescent="0.2">
      <c r="A513" s="1" t="s">
        <v>882</v>
      </c>
      <c r="B513" s="1" t="s">
        <v>883</v>
      </c>
      <c r="C513" s="1" t="s">
        <v>10</v>
      </c>
      <c r="D513" s="1" t="s">
        <v>11</v>
      </c>
      <c r="E513" s="1">
        <v>0.80879657900000002</v>
      </c>
      <c r="F513" s="1">
        <v>7.7928506999999994E-2</v>
      </c>
      <c r="G513" s="1">
        <f t="shared" si="21"/>
        <v>0.56825511446999988</v>
      </c>
      <c r="H513">
        <f t="shared" si="22"/>
        <v>0.43174488553000012</v>
      </c>
      <c r="I513">
        <f t="shared" si="23"/>
        <v>43.17448855300001</v>
      </c>
    </row>
    <row r="514" spans="1:9" x14ac:dyDescent="0.2">
      <c r="A514" s="1" t="s">
        <v>884</v>
      </c>
      <c r="B514" s="1" t="s">
        <v>885</v>
      </c>
      <c r="C514" s="1" t="s">
        <v>46</v>
      </c>
      <c r="D514" s="1" t="s">
        <v>47</v>
      </c>
      <c r="E514" s="1">
        <v>0.82499648000000003</v>
      </c>
      <c r="F514" s="1">
        <v>6.6720091999999995E-2</v>
      </c>
      <c r="G514" s="1">
        <f t="shared" si="21"/>
        <v>0.50550860523999996</v>
      </c>
      <c r="H514">
        <f t="shared" si="22"/>
        <v>0.49449139476000004</v>
      </c>
      <c r="I514">
        <f t="shared" si="23"/>
        <v>49.449139476000006</v>
      </c>
    </row>
    <row r="515" spans="1:9" x14ac:dyDescent="0.2">
      <c r="A515" s="1" t="s">
        <v>886</v>
      </c>
      <c r="B515" s="1" t="s">
        <v>887</v>
      </c>
      <c r="C515" s="1" t="s">
        <v>54</v>
      </c>
      <c r="D515" s="1" t="s">
        <v>55</v>
      </c>
      <c r="E515" s="1">
        <v>0.81428129500000002</v>
      </c>
      <c r="F515" s="1">
        <v>7.6036296000000003E-2</v>
      </c>
      <c r="G515" s="1">
        <f t="shared" ref="G515:G578" si="24">1.68*(1-E515)+3.17*F515</f>
        <v>0.55304248272000001</v>
      </c>
      <c r="H515">
        <f t="shared" ref="H515:H578" si="25">1-G515</f>
        <v>0.44695751727999999</v>
      </c>
      <c r="I515">
        <f t="shared" ref="I515:I578" si="26">100*H515</f>
        <v>44.695751727999998</v>
      </c>
    </row>
    <row r="516" spans="1:9" x14ac:dyDescent="0.2">
      <c r="A516" s="1" t="s">
        <v>888</v>
      </c>
      <c r="B516" s="1" t="s">
        <v>889</v>
      </c>
      <c r="C516" s="1" t="s">
        <v>46</v>
      </c>
      <c r="D516" s="1" t="s">
        <v>47</v>
      </c>
      <c r="E516" s="1">
        <v>0.86415166700000001</v>
      </c>
      <c r="F516" s="1">
        <v>5.1565228999999997E-2</v>
      </c>
      <c r="G516" s="1">
        <f t="shared" si="24"/>
        <v>0.39168697536999997</v>
      </c>
      <c r="H516">
        <f t="shared" si="25"/>
        <v>0.60831302463000003</v>
      </c>
      <c r="I516">
        <f t="shared" si="26"/>
        <v>60.831302463</v>
      </c>
    </row>
    <row r="517" spans="1:9" x14ac:dyDescent="0.2">
      <c r="A517" s="1" t="s">
        <v>890</v>
      </c>
      <c r="B517" s="1" t="s">
        <v>891</v>
      </c>
      <c r="C517" s="1" t="s">
        <v>46</v>
      </c>
      <c r="D517" s="1" t="s">
        <v>47</v>
      </c>
      <c r="E517" s="1">
        <v>0.80483824199999998</v>
      </c>
      <c r="F517" s="1">
        <v>8.1458233000000005E-2</v>
      </c>
      <c r="G517" s="1">
        <f t="shared" si="24"/>
        <v>0.58609435205000004</v>
      </c>
      <c r="H517">
        <f t="shared" si="25"/>
        <v>0.41390564794999996</v>
      </c>
      <c r="I517">
        <f t="shared" si="26"/>
        <v>41.390564794999996</v>
      </c>
    </row>
    <row r="518" spans="1:9" x14ac:dyDescent="0.2">
      <c r="A518" s="1" t="s">
        <v>892</v>
      </c>
      <c r="B518" s="1" t="s">
        <v>893</v>
      </c>
      <c r="C518" s="1" t="s">
        <v>54</v>
      </c>
      <c r="D518" s="1" t="s">
        <v>55</v>
      </c>
      <c r="E518" s="1">
        <v>0.812806256</v>
      </c>
      <c r="F518" s="1">
        <v>7.1190566999999996E-2</v>
      </c>
      <c r="G518" s="1">
        <f t="shared" si="24"/>
        <v>0.54015958731000002</v>
      </c>
      <c r="H518">
        <f t="shared" si="25"/>
        <v>0.45984041268999998</v>
      </c>
      <c r="I518">
        <f t="shared" si="26"/>
        <v>45.984041268999995</v>
      </c>
    </row>
    <row r="519" spans="1:9" x14ac:dyDescent="0.2">
      <c r="A519" s="1" t="s">
        <v>894</v>
      </c>
      <c r="B519" s="1" t="s">
        <v>895</v>
      </c>
      <c r="C519" s="1" t="s">
        <v>6</v>
      </c>
      <c r="D519" s="1" t="s">
        <v>7</v>
      </c>
      <c r="E519" s="1">
        <v>0.81677766399999996</v>
      </c>
      <c r="F519" s="1">
        <v>7.4030328000000006E-2</v>
      </c>
      <c r="G519" s="1">
        <f t="shared" si="24"/>
        <v>0.54248966424000011</v>
      </c>
      <c r="H519">
        <f t="shared" si="25"/>
        <v>0.45751033575999989</v>
      </c>
      <c r="I519">
        <f t="shared" si="26"/>
        <v>45.75103357599999</v>
      </c>
    </row>
    <row r="520" spans="1:9" x14ac:dyDescent="0.2">
      <c r="A520" s="1" t="s">
        <v>896</v>
      </c>
      <c r="B520" s="1" t="s">
        <v>897</v>
      </c>
      <c r="C520" s="1" t="s">
        <v>6</v>
      </c>
      <c r="D520" s="1" t="s">
        <v>7</v>
      </c>
      <c r="E520" s="1">
        <v>0.82726269299999999</v>
      </c>
      <c r="F520" s="1">
        <v>6.9681177999999996E-2</v>
      </c>
      <c r="G520" s="1">
        <f t="shared" si="24"/>
        <v>0.51108801002000004</v>
      </c>
      <c r="H520">
        <f t="shared" si="25"/>
        <v>0.48891198997999996</v>
      </c>
      <c r="I520">
        <f t="shared" si="26"/>
        <v>48.891198997999993</v>
      </c>
    </row>
    <row r="521" spans="1:9" x14ac:dyDescent="0.2">
      <c r="A521" s="1" t="s">
        <v>898</v>
      </c>
      <c r="B521" s="1" t="s">
        <v>899</v>
      </c>
      <c r="C521" s="1" t="s">
        <v>46</v>
      </c>
      <c r="D521" s="1" t="s">
        <v>47</v>
      </c>
      <c r="E521" s="1">
        <v>0.80737755</v>
      </c>
      <c r="F521" s="1">
        <v>8.2569928000000001E-2</v>
      </c>
      <c r="G521" s="1">
        <f t="shared" si="24"/>
        <v>0.58535238775999998</v>
      </c>
      <c r="H521">
        <f t="shared" si="25"/>
        <v>0.41464761224000002</v>
      </c>
      <c r="I521">
        <f t="shared" si="26"/>
        <v>41.464761224</v>
      </c>
    </row>
    <row r="522" spans="1:9" x14ac:dyDescent="0.2">
      <c r="A522" s="1" t="s">
        <v>900</v>
      </c>
      <c r="B522" s="1" t="s">
        <v>901</v>
      </c>
      <c r="C522" s="1" t="s">
        <v>46</v>
      </c>
      <c r="D522" s="1" t="s">
        <v>47</v>
      </c>
      <c r="E522" s="1">
        <v>0.82667846599999995</v>
      </c>
      <c r="F522" s="1">
        <v>7.2769177000000004E-2</v>
      </c>
      <c r="G522" s="1">
        <f t="shared" si="24"/>
        <v>0.52185846821000015</v>
      </c>
      <c r="H522">
        <f t="shared" si="25"/>
        <v>0.47814153178999985</v>
      </c>
      <c r="I522">
        <f t="shared" si="26"/>
        <v>47.814153178999987</v>
      </c>
    </row>
    <row r="523" spans="1:9" x14ac:dyDescent="0.2">
      <c r="A523" s="1" t="s">
        <v>902</v>
      </c>
      <c r="B523" s="1" t="s">
        <v>903</v>
      </c>
      <c r="C523" s="1" t="s">
        <v>34</v>
      </c>
      <c r="D523" s="1" t="s">
        <v>35</v>
      </c>
      <c r="E523" s="1">
        <v>0.86350333099999999</v>
      </c>
      <c r="F523" s="1">
        <v>6.3111028E-2</v>
      </c>
      <c r="G523" s="1">
        <f t="shared" si="24"/>
        <v>0.42937636268000001</v>
      </c>
      <c r="H523">
        <f t="shared" si="25"/>
        <v>0.57062363731999999</v>
      </c>
      <c r="I523">
        <f t="shared" si="26"/>
        <v>57.062363732000001</v>
      </c>
    </row>
    <row r="524" spans="1:9" x14ac:dyDescent="0.2">
      <c r="A524" s="1" t="s">
        <v>904</v>
      </c>
      <c r="B524" s="1" t="s">
        <v>905</v>
      </c>
      <c r="C524" s="1" t="s">
        <v>14</v>
      </c>
      <c r="D524" s="1" t="s">
        <v>15</v>
      </c>
      <c r="E524" s="1">
        <v>0.78198268500000001</v>
      </c>
      <c r="F524" s="1">
        <v>0.102523287</v>
      </c>
      <c r="G524" s="1">
        <f t="shared" si="24"/>
        <v>0.69126790899000001</v>
      </c>
      <c r="H524">
        <f t="shared" si="25"/>
        <v>0.30873209100999999</v>
      </c>
      <c r="I524">
        <f t="shared" si="26"/>
        <v>30.873209101</v>
      </c>
    </row>
    <row r="525" spans="1:9" x14ac:dyDescent="0.2">
      <c r="A525" s="1" t="s">
        <v>906</v>
      </c>
      <c r="B525" s="1" t="s">
        <v>907</v>
      </c>
      <c r="C525" s="1" t="s">
        <v>6</v>
      </c>
      <c r="D525" s="1" t="s">
        <v>7</v>
      </c>
      <c r="E525" s="1">
        <v>0.85782275900000005</v>
      </c>
      <c r="F525" s="1">
        <v>5.6567854000000001E-2</v>
      </c>
      <c r="G525" s="1">
        <f t="shared" si="24"/>
        <v>0.41817786205999991</v>
      </c>
      <c r="H525">
        <f t="shared" si="25"/>
        <v>0.58182213794000015</v>
      </c>
      <c r="I525">
        <f t="shared" si="26"/>
        <v>58.182213794000013</v>
      </c>
    </row>
    <row r="526" spans="1:9" x14ac:dyDescent="0.2">
      <c r="A526" s="1" t="s">
        <v>908</v>
      </c>
      <c r="B526" s="1" t="s">
        <v>909</v>
      </c>
      <c r="C526" s="1" t="s">
        <v>38</v>
      </c>
      <c r="D526" s="1" t="s">
        <v>39</v>
      </c>
      <c r="E526" s="1">
        <v>0.82371862299999998</v>
      </c>
      <c r="F526" s="1">
        <v>7.4244208000000006E-2</v>
      </c>
      <c r="G526" s="1">
        <f t="shared" si="24"/>
        <v>0.53150685272000009</v>
      </c>
      <c r="H526">
        <f t="shared" si="25"/>
        <v>0.46849314727999991</v>
      </c>
      <c r="I526">
        <f t="shared" si="26"/>
        <v>46.849314727999989</v>
      </c>
    </row>
    <row r="527" spans="1:9" x14ac:dyDescent="0.2">
      <c r="A527" s="1" t="s">
        <v>910</v>
      </c>
      <c r="B527" s="1" t="s">
        <v>911</v>
      </c>
      <c r="C527" s="1" t="s">
        <v>46</v>
      </c>
      <c r="D527" s="1" t="s">
        <v>47</v>
      </c>
      <c r="E527" s="1">
        <v>0.86834199099999998</v>
      </c>
      <c r="F527" s="1">
        <v>4.8531495000000001E-2</v>
      </c>
      <c r="G527" s="1">
        <f t="shared" si="24"/>
        <v>0.37503029427000001</v>
      </c>
      <c r="H527">
        <f t="shared" si="25"/>
        <v>0.62496970572999999</v>
      </c>
      <c r="I527">
        <f t="shared" si="26"/>
        <v>62.496970572999999</v>
      </c>
    </row>
    <row r="528" spans="1:9" x14ac:dyDescent="0.2">
      <c r="A528" s="1" t="s">
        <v>912</v>
      </c>
      <c r="B528" s="1" t="s">
        <v>913</v>
      </c>
      <c r="C528" s="1" t="s">
        <v>54</v>
      </c>
      <c r="D528" s="1" t="s">
        <v>55</v>
      </c>
      <c r="E528" s="1">
        <v>0.78852399900000003</v>
      </c>
      <c r="F528" s="1">
        <v>8.9759011999999999E-2</v>
      </c>
      <c r="G528" s="1">
        <f t="shared" si="24"/>
        <v>0.63981574971999988</v>
      </c>
      <c r="H528">
        <f t="shared" si="25"/>
        <v>0.36018425028000012</v>
      </c>
      <c r="I528">
        <f t="shared" si="26"/>
        <v>36.01842502800001</v>
      </c>
    </row>
    <row r="529" spans="1:9" x14ac:dyDescent="0.2">
      <c r="A529" s="1" t="s">
        <v>914</v>
      </c>
      <c r="B529" s="1" t="s">
        <v>915</v>
      </c>
      <c r="C529" s="1" t="s">
        <v>14</v>
      </c>
      <c r="D529" s="1" t="s">
        <v>15</v>
      </c>
      <c r="E529" s="1">
        <v>0.77797522200000002</v>
      </c>
      <c r="F529" s="1">
        <v>0.108376843</v>
      </c>
      <c r="G529" s="1">
        <f t="shared" si="24"/>
        <v>0.71655621934999991</v>
      </c>
      <c r="H529">
        <f t="shared" si="25"/>
        <v>0.28344378065000009</v>
      </c>
      <c r="I529">
        <f t="shared" si="26"/>
        <v>28.344378065000008</v>
      </c>
    </row>
    <row r="530" spans="1:9" x14ac:dyDescent="0.2">
      <c r="A530" s="1" t="s">
        <v>916</v>
      </c>
      <c r="B530" s="1" t="s">
        <v>917</v>
      </c>
      <c r="C530" s="1" t="s">
        <v>14</v>
      </c>
      <c r="D530" s="1" t="s">
        <v>15</v>
      </c>
      <c r="E530" s="1">
        <v>0.77708423400000004</v>
      </c>
      <c r="F530" s="1">
        <v>0.111004502</v>
      </c>
      <c r="G530" s="1">
        <f t="shared" si="24"/>
        <v>0.72638275821999998</v>
      </c>
      <c r="H530">
        <f t="shared" si="25"/>
        <v>0.27361724178000002</v>
      </c>
      <c r="I530">
        <f t="shared" si="26"/>
        <v>27.361724178000003</v>
      </c>
    </row>
    <row r="531" spans="1:9" x14ac:dyDescent="0.2">
      <c r="A531" s="1" t="s">
        <v>918</v>
      </c>
      <c r="B531" s="1" t="s">
        <v>919</v>
      </c>
      <c r="C531" s="1" t="s">
        <v>54</v>
      </c>
      <c r="D531" s="1" t="s">
        <v>55</v>
      </c>
      <c r="E531" s="1">
        <v>0.78223683499999996</v>
      </c>
      <c r="F531" s="1">
        <v>9.3436826000000001E-2</v>
      </c>
      <c r="G531" s="1">
        <f t="shared" si="24"/>
        <v>0.66203685562000003</v>
      </c>
      <c r="H531">
        <f t="shared" si="25"/>
        <v>0.33796314437999997</v>
      </c>
      <c r="I531">
        <f t="shared" si="26"/>
        <v>33.796314437999996</v>
      </c>
    </row>
    <row r="532" spans="1:9" x14ac:dyDescent="0.2">
      <c r="A532" s="1" t="s">
        <v>920</v>
      </c>
      <c r="B532" s="1" t="s">
        <v>921</v>
      </c>
      <c r="C532" s="1" t="s">
        <v>46</v>
      </c>
      <c r="D532" s="1" t="s">
        <v>47</v>
      </c>
      <c r="E532" s="1">
        <v>0.85220714799999997</v>
      </c>
      <c r="F532" s="1">
        <v>5.2979129999999999E-2</v>
      </c>
      <c r="G532" s="1">
        <f t="shared" si="24"/>
        <v>0.41623583346000004</v>
      </c>
      <c r="H532">
        <f t="shared" si="25"/>
        <v>0.58376416653999996</v>
      </c>
      <c r="I532">
        <f t="shared" si="26"/>
        <v>58.376416653999996</v>
      </c>
    </row>
    <row r="533" spans="1:9" x14ac:dyDescent="0.2">
      <c r="A533" s="1" t="s">
        <v>922</v>
      </c>
      <c r="B533" s="1" t="s">
        <v>923</v>
      </c>
      <c r="C533" s="1" t="s">
        <v>10</v>
      </c>
      <c r="D533" s="1" t="s">
        <v>11</v>
      </c>
      <c r="E533" s="1">
        <v>0.81440780099999999</v>
      </c>
      <c r="F533" s="1">
        <v>7.2134198999999996E-2</v>
      </c>
      <c r="G533" s="1">
        <f t="shared" si="24"/>
        <v>0.54046030514999999</v>
      </c>
      <c r="H533">
        <f t="shared" si="25"/>
        <v>0.45953969485000001</v>
      </c>
      <c r="I533">
        <f t="shared" si="26"/>
        <v>45.953969485000002</v>
      </c>
    </row>
    <row r="534" spans="1:9" x14ac:dyDescent="0.2">
      <c r="A534" s="1" t="s">
        <v>924</v>
      </c>
      <c r="B534" s="1" t="s">
        <v>925</v>
      </c>
      <c r="C534" s="1" t="s">
        <v>10</v>
      </c>
      <c r="D534" s="1" t="s">
        <v>11</v>
      </c>
      <c r="E534" s="1">
        <v>0.80184915800000001</v>
      </c>
      <c r="F534" s="1">
        <v>8.5277139000000002E-2</v>
      </c>
      <c r="G534" s="1">
        <f t="shared" si="24"/>
        <v>0.60322194519000005</v>
      </c>
      <c r="H534">
        <f t="shared" si="25"/>
        <v>0.39677805480999995</v>
      </c>
      <c r="I534">
        <f t="shared" si="26"/>
        <v>39.677805480999993</v>
      </c>
    </row>
    <row r="535" spans="1:9" x14ac:dyDescent="0.2">
      <c r="A535" s="1" t="s">
        <v>926</v>
      </c>
      <c r="B535" s="1" t="s">
        <v>927</v>
      </c>
      <c r="C535" s="1" t="s">
        <v>14</v>
      </c>
      <c r="D535" s="1" t="s">
        <v>15</v>
      </c>
      <c r="E535" s="1">
        <v>0.80110934199999995</v>
      </c>
      <c r="F535" s="1">
        <v>8.8295414000000003E-2</v>
      </c>
      <c r="G535" s="1">
        <f t="shared" si="24"/>
        <v>0.61403276782000005</v>
      </c>
      <c r="H535">
        <f t="shared" si="25"/>
        <v>0.38596723217999995</v>
      </c>
      <c r="I535">
        <f t="shared" si="26"/>
        <v>38.596723217999994</v>
      </c>
    </row>
    <row r="536" spans="1:9" x14ac:dyDescent="0.2">
      <c r="A536" s="1" t="s">
        <v>928</v>
      </c>
      <c r="B536" s="1" t="s">
        <v>929</v>
      </c>
      <c r="C536" s="1" t="s">
        <v>46</v>
      </c>
      <c r="D536" s="1" t="s">
        <v>47</v>
      </c>
      <c r="E536" s="1">
        <v>0.82928049100000001</v>
      </c>
      <c r="F536" s="1">
        <v>6.9360114E-2</v>
      </c>
      <c r="G536" s="1">
        <f t="shared" si="24"/>
        <v>0.50668033649999999</v>
      </c>
      <c r="H536">
        <f t="shared" si="25"/>
        <v>0.49331966350000001</v>
      </c>
      <c r="I536">
        <f t="shared" si="26"/>
        <v>49.331966350000002</v>
      </c>
    </row>
    <row r="537" spans="1:9" x14ac:dyDescent="0.2">
      <c r="A537" s="1" t="s">
        <v>1276</v>
      </c>
      <c r="B537" s="1" t="s">
        <v>1277</v>
      </c>
      <c r="C537" s="1" t="s">
        <v>1176</v>
      </c>
      <c r="D537" s="1" t="s">
        <v>1177</v>
      </c>
      <c r="E537" s="1">
        <v>0.78116881199999999</v>
      </c>
      <c r="F537" s="1">
        <v>9.1146165000000001E-2</v>
      </c>
      <c r="G537" s="1">
        <f t="shared" si="24"/>
        <v>0.65656973889000003</v>
      </c>
      <c r="H537">
        <f t="shared" si="25"/>
        <v>0.34343026110999997</v>
      </c>
      <c r="I537">
        <f t="shared" si="26"/>
        <v>34.343026111</v>
      </c>
    </row>
    <row r="538" spans="1:9" x14ac:dyDescent="0.2">
      <c r="A538" s="1" t="s">
        <v>930</v>
      </c>
      <c r="B538" s="1" t="s">
        <v>931</v>
      </c>
      <c r="C538" s="1" t="s">
        <v>14</v>
      </c>
      <c r="D538" s="1" t="s">
        <v>15</v>
      </c>
      <c r="E538" s="1">
        <v>0.80518675399999995</v>
      </c>
      <c r="F538" s="1">
        <v>8.5899050000000005E-2</v>
      </c>
      <c r="G538" s="1">
        <f t="shared" si="24"/>
        <v>0.59958624178000008</v>
      </c>
      <c r="H538">
        <f t="shared" si="25"/>
        <v>0.40041375821999992</v>
      </c>
      <c r="I538">
        <f t="shared" si="26"/>
        <v>40.041375821999992</v>
      </c>
    </row>
    <row r="539" spans="1:9" x14ac:dyDescent="0.2">
      <c r="A539" s="1" t="s">
        <v>932</v>
      </c>
      <c r="B539" s="1" t="s">
        <v>933</v>
      </c>
      <c r="C539" s="1" t="s">
        <v>98</v>
      </c>
      <c r="D539" s="1" t="s">
        <v>99</v>
      </c>
      <c r="E539" s="1">
        <v>0.77707944500000004</v>
      </c>
      <c r="F539" s="1">
        <v>0.10564438800000001</v>
      </c>
      <c r="G539" s="1">
        <f t="shared" si="24"/>
        <v>0.70939924235999996</v>
      </c>
      <c r="H539">
        <f t="shared" si="25"/>
        <v>0.29060075764000004</v>
      </c>
      <c r="I539">
        <f t="shared" si="26"/>
        <v>29.060075764000004</v>
      </c>
    </row>
    <row r="540" spans="1:9" x14ac:dyDescent="0.2">
      <c r="A540" s="1" t="s">
        <v>934</v>
      </c>
      <c r="B540" s="1" t="s">
        <v>935</v>
      </c>
      <c r="C540" s="1" t="s">
        <v>98</v>
      </c>
      <c r="D540" s="1" t="s">
        <v>99</v>
      </c>
      <c r="E540" s="1">
        <v>0.83939480200000005</v>
      </c>
      <c r="F540" s="1">
        <v>6.4658097999999997E-2</v>
      </c>
      <c r="G540" s="1">
        <f t="shared" si="24"/>
        <v>0.47478290329999984</v>
      </c>
      <c r="H540">
        <f t="shared" si="25"/>
        <v>0.52521709670000016</v>
      </c>
      <c r="I540">
        <f t="shared" si="26"/>
        <v>52.521709670000014</v>
      </c>
    </row>
    <row r="541" spans="1:9" x14ac:dyDescent="0.2">
      <c r="A541" s="1" t="s">
        <v>936</v>
      </c>
      <c r="B541" s="1" t="s">
        <v>937</v>
      </c>
      <c r="C541" s="1" t="s">
        <v>10</v>
      </c>
      <c r="D541" s="1" t="s">
        <v>11</v>
      </c>
      <c r="E541" s="1">
        <v>0.78990800500000002</v>
      </c>
      <c r="F541" s="1">
        <v>9.4677752000000004E-2</v>
      </c>
      <c r="G541" s="1">
        <f t="shared" si="24"/>
        <v>0.65308302543999996</v>
      </c>
      <c r="H541">
        <f t="shared" si="25"/>
        <v>0.34691697456000004</v>
      </c>
      <c r="I541">
        <f t="shared" si="26"/>
        <v>34.691697456</v>
      </c>
    </row>
    <row r="542" spans="1:9" x14ac:dyDescent="0.2">
      <c r="A542" s="1" t="s">
        <v>938</v>
      </c>
      <c r="B542" s="1" t="s">
        <v>939</v>
      </c>
      <c r="C542" s="1" t="s">
        <v>10</v>
      </c>
      <c r="D542" s="1" t="s">
        <v>11</v>
      </c>
      <c r="E542" s="1">
        <v>0.79004764800000005</v>
      </c>
      <c r="F542" s="1">
        <v>9.6762295999999998E-2</v>
      </c>
      <c r="G542" s="1">
        <f t="shared" si="24"/>
        <v>0.65945642967999984</v>
      </c>
      <c r="H542">
        <f t="shared" si="25"/>
        <v>0.34054357032000016</v>
      </c>
      <c r="I542">
        <f t="shared" si="26"/>
        <v>34.054357032000013</v>
      </c>
    </row>
    <row r="543" spans="1:9" x14ac:dyDescent="0.2">
      <c r="A543" s="1" t="s">
        <v>940</v>
      </c>
      <c r="B543" s="1" t="s">
        <v>941</v>
      </c>
      <c r="C543" s="1" t="s">
        <v>10</v>
      </c>
      <c r="D543" s="1" t="s">
        <v>11</v>
      </c>
      <c r="E543" s="1">
        <v>0.79547667399999999</v>
      </c>
      <c r="F543" s="1">
        <v>9.2720768999999995E-2</v>
      </c>
      <c r="G543" s="1">
        <f t="shared" si="24"/>
        <v>0.63752402540999997</v>
      </c>
      <c r="H543">
        <f t="shared" si="25"/>
        <v>0.36247597459000003</v>
      </c>
      <c r="I543">
        <f t="shared" si="26"/>
        <v>36.247597459000005</v>
      </c>
    </row>
    <row r="544" spans="1:9" x14ac:dyDescent="0.2">
      <c r="A544" s="1" t="s">
        <v>942</v>
      </c>
      <c r="B544" s="1" t="s">
        <v>943</v>
      </c>
      <c r="C544" s="1" t="s">
        <v>10</v>
      </c>
      <c r="D544" s="1" t="s">
        <v>11</v>
      </c>
      <c r="E544" s="1">
        <v>0.81274707300000004</v>
      </c>
      <c r="F544" s="1">
        <v>7.5110139000000006E-2</v>
      </c>
      <c r="G544" s="1">
        <f t="shared" si="24"/>
        <v>0.55268405798999998</v>
      </c>
      <c r="H544">
        <f t="shared" si="25"/>
        <v>0.44731594201000002</v>
      </c>
      <c r="I544">
        <f t="shared" si="26"/>
        <v>44.731594201</v>
      </c>
    </row>
    <row r="545" spans="1:9" x14ac:dyDescent="0.2">
      <c r="A545" s="1" t="s">
        <v>944</v>
      </c>
      <c r="B545" s="1" t="s">
        <v>945</v>
      </c>
      <c r="C545" s="1" t="s">
        <v>10</v>
      </c>
      <c r="D545" s="1" t="s">
        <v>11</v>
      </c>
      <c r="E545" s="1">
        <v>0.80655405899999999</v>
      </c>
      <c r="F545" s="1">
        <v>8.1032199999999999E-2</v>
      </c>
      <c r="G545" s="1">
        <f t="shared" si="24"/>
        <v>0.58186125487999996</v>
      </c>
      <c r="H545">
        <f t="shared" si="25"/>
        <v>0.41813874512000004</v>
      </c>
      <c r="I545">
        <f t="shared" si="26"/>
        <v>41.813874512000005</v>
      </c>
    </row>
    <row r="546" spans="1:9" x14ac:dyDescent="0.2">
      <c r="A546" s="1" t="s">
        <v>946</v>
      </c>
      <c r="B546" s="1" t="s">
        <v>947</v>
      </c>
      <c r="C546" s="1" t="s">
        <v>34</v>
      </c>
      <c r="D546" s="1" t="s">
        <v>35</v>
      </c>
      <c r="E546" s="1">
        <v>0.876052147</v>
      </c>
      <c r="F546" s="1">
        <v>5.2820734000000001E-2</v>
      </c>
      <c r="G546" s="1">
        <f t="shared" si="24"/>
        <v>0.37567411981999999</v>
      </c>
      <c r="H546">
        <f t="shared" si="25"/>
        <v>0.62432588018000001</v>
      </c>
      <c r="I546">
        <f t="shared" si="26"/>
        <v>62.432588018000004</v>
      </c>
    </row>
    <row r="547" spans="1:9" x14ac:dyDescent="0.2">
      <c r="A547" s="1" t="s">
        <v>948</v>
      </c>
      <c r="B547" s="1" t="s">
        <v>949</v>
      </c>
      <c r="C547" s="1" t="s">
        <v>10</v>
      </c>
      <c r="D547" s="1" t="s">
        <v>11</v>
      </c>
      <c r="E547" s="1">
        <v>0.83534039400000004</v>
      </c>
      <c r="F547" s="1">
        <v>6.2567705000000001E-2</v>
      </c>
      <c r="G547" s="1">
        <f t="shared" si="24"/>
        <v>0.47496776292999993</v>
      </c>
      <c r="H547">
        <f t="shared" si="25"/>
        <v>0.52503223707000002</v>
      </c>
      <c r="I547">
        <f t="shared" si="26"/>
        <v>52.503223707000004</v>
      </c>
    </row>
    <row r="548" spans="1:9" x14ac:dyDescent="0.2">
      <c r="A548" s="1" t="s">
        <v>950</v>
      </c>
      <c r="B548" s="1" t="s">
        <v>951</v>
      </c>
      <c r="C548" s="1" t="s">
        <v>34</v>
      </c>
      <c r="D548" s="1" t="s">
        <v>35</v>
      </c>
      <c r="E548" s="1">
        <v>0.86830609400000003</v>
      </c>
      <c r="F548" s="1">
        <v>5.4866839000000001E-2</v>
      </c>
      <c r="G548" s="1">
        <f t="shared" si="24"/>
        <v>0.39517364170999991</v>
      </c>
      <c r="H548">
        <f t="shared" si="25"/>
        <v>0.60482635829000009</v>
      </c>
      <c r="I548">
        <f t="shared" si="26"/>
        <v>60.48263582900001</v>
      </c>
    </row>
    <row r="549" spans="1:9" x14ac:dyDescent="0.2">
      <c r="A549" s="1" t="s">
        <v>952</v>
      </c>
      <c r="B549" s="1" t="s">
        <v>953</v>
      </c>
      <c r="C549" s="1" t="s">
        <v>14</v>
      </c>
      <c r="D549" s="1" t="s">
        <v>15</v>
      </c>
      <c r="E549" s="1">
        <v>0.81862041900000004</v>
      </c>
      <c r="F549" s="1">
        <v>8.0544365000000007E-2</v>
      </c>
      <c r="G549" s="1">
        <f t="shared" si="24"/>
        <v>0.56004333312999988</v>
      </c>
      <c r="H549">
        <f t="shared" si="25"/>
        <v>0.43995666687000012</v>
      </c>
      <c r="I549">
        <f t="shared" si="26"/>
        <v>43.995666687000011</v>
      </c>
    </row>
    <row r="550" spans="1:9" x14ac:dyDescent="0.2">
      <c r="A550" s="1" t="s">
        <v>954</v>
      </c>
      <c r="B550" s="1" t="s">
        <v>955</v>
      </c>
      <c r="C550" s="1" t="s">
        <v>54</v>
      </c>
      <c r="D550" s="1" t="s">
        <v>55</v>
      </c>
      <c r="E550" s="1">
        <v>0.82642338699999995</v>
      </c>
      <c r="F550" s="1">
        <v>6.4308849000000001E-2</v>
      </c>
      <c r="G550" s="1">
        <f t="shared" si="24"/>
        <v>0.49546776117000013</v>
      </c>
      <c r="H550">
        <f t="shared" si="25"/>
        <v>0.50453223882999987</v>
      </c>
      <c r="I550">
        <f t="shared" si="26"/>
        <v>50.453223882999986</v>
      </c>
    </row>
    <row r="551" spans="1:9" x14ac:dyDescent="0.2">
      <c r="A551" s="1" t="s">
        <v>956</v>
      </c>
      <c r="B551" s="1" t="s">
        <v>957</v>
      </c>
      <c r="C551" s="1" t="s">
        <v>46</v>
      </c>
      <c r="D551" s="1" t="s">
        <v>47</v>
      </c>
      <c r="E551" s="1">
        <v>0.79963749900000003</v>
      </c>
      <c r="F551" s="1">
        <v>7.8334637999999998E-2</v>
      </c>
      <c r="G551" s="1">
        <f t="shared" si="24"/>
        <v>0.58492980413999995</v>
      </c>
      <c r="H551">
        <f t="shared" si="25"/>
        <v>0.41507019586000005</v>
      </c>
      <c r="I551">
        <f t="shared" si="26"/>
        <v>41.507019586000006</v>
      </c>
    </row>
    <row r="552" spans="1:9" x14ac:dyDescent="0.2">
      <c r="A552" s="1" t="s">
        <v>958</v>
      </c>
      <c r="B552" s="1" t="s">
        <v>959</v>
      </c>
      <c r="C552" s="1" t="s">
        <v>98</v>
      </c>
      <c r="D552" s="1" t="s">
        <v>99</v>
      </c>
      <c r="E552" s="1">
        <v>0.76953004700000005</v>
      </c>
      <c r="F552" s="1">
        <v>0.11344365300000001</v>
      </c>
      <c r="G552" s="1">
        <f t="shared" si="24"/>
        <v>0.74680590104999989</v>
      </c>
      <c r="H552">
        <f t="shared" si="25"/>
        <v>0.25319409895000011</v>
      </c>
      <c r="I552">
        <f t="shared" si="26"/>
        <v>25.31940989500001</v>
      </c>
    </row>
    <row r="553" spans="1:9" x14ac:dyDescent="0.2">
      <c r="A553" s="1" t="s">
        <v>960</v>
      </c>
      <c r="B553" s="1" t="s">
        <v>961</v>
      </c>
      <c r="C553" s="1" t="s">
        <v>6</v>
      </c>
      <c r="D553" s="1" t="s">
        <v>7</v>
      </c>
      <c r="E553" s="1">
        <v>0.865737957</v>
      </c>
      <c r="F553" s="1">
        <v>4.9414545999999997E-2</v>
      </c>
      <c r="G553" s="1">
        <f t="shared" si="24"/>
        <v>0.38220434305999995</v>
      </c>
      <c r="H553">
        <f t="shared" si="25"/>
        <v>0.61779565694000005</v>
      </c>
      <c r="I553">
        <f t="shared" si="26"/>
        <v>61.779565694000006</v>
      </c>
    </row>
    <row r="554" spans="1:9" x14ac:dyDescent="0.2">
      <c r="A554" s="1" t="s">
        <v>962</v>
      </c>
      <c r="B554" s="1" t="s">
        <v>963</v>
      </c>
      <c r="C554" s="1" t="s">
        <v>6</v>
      </c>
      <c r="D554" s="1" t="s">
        <v>7</v>
      </c>
      <c r="E554" s="1">
        <v>0.83230804800000002</v>
      </c>
      <c r="F554" s="1">
        <v>6.3200872000000005E-2</v>
      </c>
      <c r="G554" s="1">
        <f t="shared" si="24"/>
        <v>0.48206924359999992</v>
      </c>
      <c r="H554">
        <f t="shared" si="25"/>
        <v>0.51793075640000008</v>
      </c>
      <c r="I554">
        <f t="shared" si="26"/>
        <v>51.793075640000005</v>
      </c>
    </row>
    <row r="555" spans="1:9" x14ac:dyDescent="0.2">
      <c r="A555" s="1" t="s">
        <v>964</v>
      </c>
      <c r="B555" s="1" t="s">
        <v>965</v>
      </c>
      <c r="C555" s="1" t="s">
        <v>34</v>
      </c>
      <c r="D555" s="1" t="s">
        <v>35</v>
      </c>
      <c r="E555" s="1">
        <v>0.86881720399999995</v>
      </c>
      <c r="F555" s="1">
        <v>5.3046595000000002E-2</v>
      </c>
      <c r="G555" s="1">
        <f t="shared" si="24"/>
        <v>0.38854480343000009</v>
      </c>
      <c r="H555">
        <f t="shared" si="25"/>
        <v>0.61145519656999991</v>
      </c>
      <c r="I555">
        <f t="shared" si="26"/>
        <v>61.145519656999994</v>
      </c>
    </row>
    <row r="556" spans="1:9" x14ac:dyDescent="0.2">
      <c r="A556" s="1" t="s">
        <v>966</v>
      </c>
      <c r="B556" s="1" t="s">
        <v>967</v>
      </c>
      <c r="C556" s="1" t="s">
        <v>10</v>
      </c>
      <c r="D556" s="1" t="s">
        <v>11</v>
      </c>
      <c r="E556" s="1">
        <v>0.84070952099999996</v>
      </c>
      <c r="F556" s="1">
        <v>6.5191083999999996E-2</v>
      </c>
      <c r="G556" s="1">
        <f t="shared" si="24"/>
        <v>0.47426374100000002</v>
      </c>
      <c r="H556">
        <f t="shared" si="25"/>
        <v>0.52573625899999998</v>
      </c>
      <c r="I556">
        <f t="shared" si="26"/>
        <v>52.573625899999996</v>
      </c>
    </row>
    <row r="557" spans="1:9" x14ac:dyDescent="0.2">
      <c r="A557" s="1" t="s">
        <v>1164</v>
      </c>
      <c r="B557" s="1" t="s">
        <v>1165</v>
      </c>
      <c r="C557" s="1" t="s">
        <v>1110</v>
      </c>
      <c r="D557" s="1" t="s">
        <v>1111</v>
      </c>
      <c r="E557" s="1">
        <v>0.76054829099999999</v>
      </c>
      <c r="F557" s="1">
        <v>0.120515003</v>
      </c>
      <c r="G557" s="1">
        <f t="shared" si="24"/>
        <v>0.78431143062999997</v>
      </c>
      <c r="H557">
        <f t="shared" si="25"/>
        <v>0.21568856937000003</v>
      </c>
      <c r="I557">
        <f t="shared" si="26"/>
        <v>21.568856937000003</v>
      </c>
    </row>
    <row r="558" spans="1:9" x14ac:dyDescent="0.2">
      <c r="A558" s="1" t="s">
        <v>968</v>
      </c>
      <c r="B558" s="1" t="s">
        <v>969</v>
      </c>
      <c r="C558" s="1" t="s">
        <v>54</v>
      </c>
      <c r="D558" s="1" t="s">
        <v>55</v>
      </c>
      <c r="E558" s="1">
        <v>0.83883489700000002</v>
      </c>
      <c r="F558" s="1">
        <v>6.5041262000000002E-2</v>
      </c>
      <c r="G558" s="1">
        <f t="shared" si="24"/>
        <v>0.47693817358000001</v>
      </c>
      <c r="H558">
        <f t="shared" si="25"/>
        <v>0.52306182641999999</v>
      </c>
      <c r="I558">
        <f t="shared" si="26"/>
        <v>52.306182641999996</v>
      </c>
    </row>
    <row r="559" spans="1:9" x14ac:dyDescent="0.2">
      <c r="A559" s="1" t="s">
        <v>970</v>
      </c>
      <c r="B559" s="1" t="s">
        <v>971</v>
      </c>
      <c r="C559" s="1" t="s">
        <v>54</v>
      </c>
      <c r="D559" s="1" t="s">
        <v>55</v>
      </c>
      <c r="E559" s="1">
        <v>0.84525610699999998</v>
      </c>
      <c r="F559" s="1">
        <v>6.1370212E-2</v>
      </c>
      <c r="G559" s="1">
        <f t="shared" si="24"/>
        <v>0.45451331228000003</v>
      </c>
      <c r="H559">
        <f t="shared" si="25"/>
        <v>0.54548668771999997</v>
      </c>
      <c r="I559">
        <f t="shared" si="26"/>
        <v>54.548668771999999</v>
      </c>
    </row>
    <row r="560" spans="1:9" x14ac:dyDescent="0.2">
      <c r="A560" s="1" t="s">
        <v>972</v>
      </c>
      <c r="B560" s="1" t="s">
        <v>973</v>
      </c>
      <c r="C560" s="1" t="s">
        <v>10</v>
      </c>
      <c r="D560" s="1" t="s">
        <v>11</v>
      </c>
      <c r="E560" s="1">
        <v>0.81942355</v>
      </c>
      <c r="F560" s="1">
        <v>7.4432366999999999E-2</v>
      </c>
      <c r="G560" s="1">
        <f t="shared" si="24"/>
        <v>0.53931903938999992</v>
      </c>
      <c r="H560">
        <f t="shared" si="25"/>
        <v>0.46068096061000008</v>
      </c>
      <c r="I560">
        <f t="shared" si="26"/>
        <v>46.068096061000006</v>
      </c>
    </row>
    <row r="561" spans="1:9" x14ac:dyDescent="0.2">
      <c r="A561" s="1" t="s">
        <v>974</v>
      </c>
      <c r="B561" s="1" t="s">
        <v>975</v>
      </c>
      <c r="C561" s="1" t="s">
        <v>14</v>
      </c>
      <c r="D561" s="1" t="s">
        <v>15</v>
      </c>
      <c r="E561" s="1">
        <v>0.843520732</v>
      </c>
      <c r="F561" s="1">
        <v>6.3556291000000001E-2</v>
      </c>
      <c r="G561" s="1">
        <f t="shared" si="24"/>
        <v>0.46435861271000001</v>
      </c>
      <c r="H561">
        <f t="shared" si="25"/>
        <v>0.53564138728999999</v>
      </c>
      <c r="I561">
        <f t="shared" si="26"/>
        <v>53.564138729</v>
      </c>
    </row>
    <row r="562" spans="1:9" x14ac:dyDescent="0.2">
      <c r="A562" s="1" t="s">
        <v>976</v>
      </c>
      <c r="B562" s="1" t="s">
        <v>977</v>
      </c>
      <c r="C562" s="1" t="s">
        <v>54</v>
      </c>
      <c r="D562" s="1" t="s">
        <v>55</v>
      </c>
      <c r="E562" s="1">
        <v>0.81731909800000002</v>
      </c>
      <c r="F562" s="1">
        <v>7.3398577000000007E-2</v>
      </c>
      <c r="G562" s="1">
        <f t="shared" si="24"/>
        <v>0.53957740444999991</v>
      </c>
      <c r="H562">
        <f t="shared" si="25"/>
        <v>0.46042259555000009</v>
      </c>
      <c r="I562">
        <f t="shared" si="26"/>
        <v>46.042259555000008</v>
      </c>
    </row>
    <row r="563" spans="1:9" x14ac:dyDescent="0.2">
      <c r="A563" s="1" t="s">
        <v>978</v>
      </c>
      <c r="B563" s="1" t="s">
        <v>979</v>
      </c>
      <c r="C563" s="1" t="s">
        <v>10</v>
      </c>
      <c r="D563" s="1" t="s">
        <v>11</v>
      </c>
      <c r="E563" s="1">
        <v>0.79860309299999999</v>
      </c>
      <c r="F563" s="1">
        <v>8.9730255999999994E-2</v>
      </c>
      <c r="G563" s="1">
        <f t="shared" si="24"/>
        <v>0.62279171527999999</v>
      </c>
      <c r="H563">
        <f t="shared" si="25"/>
        <v>0.37720828472000001</v>
      </c>
      <c r="I563">
        <f t="shared" si="26"/>
        <v>37.720828472000001</v>
      </c>
    </row>
    <row r="564" spans="1:9" x14ac:dyDescent="0.2">
      <c r="A564" s="1" t="s">
        <v>980</v>
      </c>
      <c r="B564" s="1" t="s">
        <v>981</v>
      </c>
      <c r="C564" s="1" t="s">
        <v>54</v>
      </c>
      <c r="D564" s="1" t="s">
        <v>55</v>
      </c>
      <c r="E564" s="1">
        <v>0.84165364200000004</v>
      </c>
      <c r="F564" s="1">
        <v>5.8430199000000002E-2</v>
      </c>
      <c r="G564" s="1">
        <f t="shared" si="24"/>
        <v>0.45124561226999993</v>
      </c>
      <c r="H564">
        <f t="shared" si="25"/>
        <v>0.54875438773000007</v>
      </c>
      <c r="I564">
        <f t="shared" si="26"/>
        <v>54.875438773000006</v>
      </c>
    </row>
    <row r="565" spans="1:9" x14ac:dyDescent="0.2">
      <c r="A565" s="1" t="s">
        <v>982</v>
      </c>
      <c r="B565" s="1" t="s">
        <v>983</v>
      </c>
      <c r="C565" s="1" t="s">
        <v>10</v>
      </c>
      <c r="D565" s="1" t="s">
        <v>11</v>
      </c>
      <c r="E565" s="1">
        <v>0.81444868999999998</v>
      </c>
      <c r="F565" s="1">
        <v>7.8584481999999997E-2</v>
      </c>
      <c r="G565" s="1">
        <f t="shared" si="24"/>
        <v>0.56083900874000003</v>
      </c>
      <c r="H565">
        <f t="shared" si="25"/>
        <v>0.43916099125999997</v>
      </c>
      <c r="I565">
        <f t="shared" si="26"/>
        <v>43.916099125999999</v>
      </c>
    </row>
    <row r="566" spans="1:9" x14ac:dyDescent="0.2">
      <c r="A566" s="1" t="s">
        <v>984</v>
      </c>
      <c r="B566" s="1" t="s">
        <v>985</v>
      </c>
      <c r="C566" s="1" t="s">
        <v>38</v>
      </c>
      <c r="D566" s="1" t="s">
        <v>39</v>
      </c>
      <c r="E566" s="1">
        <v>0.81791319299999998</v>
      </c>
      <c r="F566" s="1">
        <v>7.0669187999999994E-2</v>
      </c>
      <c r="G566" s="1">
        <f t="shared" si="24"/>
        <v>0.52992716171999998</v>
      </c>
      <c r="H566">
        <f t="shared" si="25"/>
        <v>0.47007283828000002</v>
      </c>
      <c r="I566">
        <f t="shared" si="26"/>
        <v>47.007283827999998</v>
      </c>
    </row>
    <row r="567" spans="1:9" x14ac:dyDescent="0.2">
      <c r="A567" s="1" t="s">
        <v>986</v>
      </c>
      <c r="B567" s="1" t="s">
        <v>987</v>
      </c>
      <c r="C567" s="1" t="s">
        <v>54</v>
      </c>
      <c r="D567" s="1" t="s">
        <v>55</v>
      </c>
      <c r="E567" s="1">
        <v>0.82966086999999999</v>
      </c>
      <c r="F567" s="1">
        <v>6.4250277999999994E-2</v>
      </c>
      <c r="G567" s="1">
        <f t="shared" si="24"/>
        <v>0.48984311965999994</v>
      </c>
      <c r="H567">
        <f t="shared" si="25"/>
        <v>0.51015688034000006</v>
      </c>
      <c r="I567">
        <f t="shared" si="26"/>
        <v>51.015688034000007</v>
      </c>
    </row>
    <row r="568" spans="1:9" x14ac:dyDescent="0.2">
      <c r="A568" s="1" t="s">
        <v>988</v>
      </c>
      <c r="B568" s="1" t="s">
        <v>989</v>
      </c>
      <c r="C568" s="1" t="s">
        <v>46</v>
      </c>
      <c r="D568" s="1" t="s">
        <v>47</v>
      </c>
      <c r="E568" s="1">
        <v>0.863601748</v>
      </c>
      <c r="F568" s="1">
        <v>5.8191510000000002E-2</v>
      </c>
      <c r="G568" s="1">
        <f t="shared" si="24"/>
        <v>0.41361615005999997</v>
      </c>
      <c r="H568">
        <f t="shared" si="25"/>
        <v>0.58638384994000003</v>
      </c>
      <c r="I568">
        <f t="shared" si="26"/>
        <v>58.638384994000006</v>
      </c>
    </row>
    <row r="569" spans="1:9" x14ac:dyDescent="0.2">
      <c r="A569" s="1" t="s">
        <v>990</v>
      </c>
      <c r="B569" s="1" t="s">
        <v>991</v>
      </c>
      <c r="C569" s="1" t="s">
        <v>10</v>
      </c>
      <c r="D569" s="1" t="s">
        <v>11</v>
      </c>
      <c r="E569" s="1">
        <v>0.803036949</v>
      </c>
      <c r="F569" s="1">
        <v>9.8073617000000002E-2</v>
      </c>
      <c r="G569" s="1">
        <f t="shared" si="24"/>
        <v>0.64179129156999992</v>
      </c>
      <c r="H569">
        <f t="shared" si="25"/>
        <v>0.35820870843000008</v>
      </c>
      <c r="I569">
        <f t="shared" si="26"/>
        <v>35.820870843000009</v>
      </c>
    </row>
    <row r="570" spans="1:9" x14ac:dyDescent="0.2">
      <c r="A570" s="1" t="s">
        <v>992</v>
      </c>
      <c r="B570" s="1" t="s">
        <v>993</v>
      </c>
      <c r="C570" s="1" t="s">
        <v>54</v>
      </c>
      <c r="D570" s="1" t="s">
        <v>55</v>
      </c>
      <c r="E570" s="1">
        <v>0.80085028999999996</v>
      </c>
      <c r="F570" s="1">
        <v>7.9637969000000003E-2</v>
      </c>
      <c r="G570" s="1">
        <f t="shared" si="24"/>
        <v>0.58702387453000004</v>
      </c>
      <c r="H570">
        <f t="shared" si="25"/>
        <v>0.41297612546999996</v>
      </c>
      <c r="I570">
        <f t="shared" si="26"/>
        <v>41.297612546999993</v>
      </c>
    </row>
    <row r="571" spans="1:9" x14ac:dyDescent="0.2">
      <c r="A571" s="1" t="s">
        <v>994</v>
      </c>
      <c r="B571" s="1" t="s">
        <v>995</v>
      </c>
      <c r="C571" s="1" t="s">
        <v>6</v>
      </c>
      <c r="D571" s="1" t="s">
        <v>7</v>
      </c>
      <c r="E571" s="1">
        <v>0.84515764000000004</v>
      </c>
      <c r="F571" s="1">
        <v>5.9291261999999997E-2</v>
      </c>
      <c r="G571" s="1">
        <f t="shared" si="24"/>
        <v>0.44808846533999991</v>
      </c>
      <c r="H571">
        <f t="shared" si="25"/>
        <v>0.55191153466000009</v>
      </c>
      <c r="I571">
        <f t="shared" si="26"/>
        <v>55.19115346600001</v>
      </c>
    </row>
    <row r="572" spans="1:9" x14ac:dyDescent="0.2">
      <c r="A572" s="1" t="s">
        <v>996</v>
      </c>
      <c r="B572" s="1" t="s">
        <v>997</v>
      </c>
      <c r="C572" s="1" t="s">
        <v>34</v>
      </c>
      <c r="D572" s="1" t="s">
        <v>35</v>
      </c>
      <c r="E572" s="1">
        <v>0.88072180200000005</v>
      </c>
      <c r="F572" s="1">
        <v>4.6464156999999999E-2</v>
      </c>
      <c r="G572" s="1">
        <f t="shared" si="24"/>
        <v>0.3476787503299999</v>
      </c>
      <c r="H572">
        <f t="shared" si="25"/>
        <v>0.65232124967000016</v>
      </c>
      <c r="I572">
        <f t="shared" si="26"/>
        <v>65.232124967000019</v>
      </c>
    </row>
    <row r="573" spans="1:9" x14ac:dyDescent="0.2">
      <c r="A573" s="1" t="s">
        <v>998</v>
      </c>
      <c r="B573" s="1" t="s">
        <v>999</v>
      </c>
      <c r="C573" s="1" t="s">
        <v>54</v>
      </c>
      <c r="D573" s="1" t="s">
        <v>55</v>
      </c>
      <c r="E573" s="1">
        <v>0.76135786699999997</v>
      </c>
      <c r="F573" s="1">
        <v>0.110748187</v>
      </c>
      <c r="G573" s="1">
        <f t="shared" si="24"/>
        <v>0.75199053623000001</v>
      </c>
      <c r="H573">
        <f t="shared" si="25"/>
        <v>0.24800946376999999</v>
      </c>
      <c r="I573">
        <f t="shared" si="26"/>
        <v>24.800946376999999</v>
      </c>
    </row>
    <row r="574" spans="1:9" x14ac:dyDescent="0.2">
      <c r="A574" s="1" t="s">
        <v>1166</v>
      </c>
      <c r="B574" s="1" t="s">
        <v>1167</v>
      </c>
      <c r="C574" s="1" t="s">
        <v>1110</v>
      </c>
      <c r="D574" s="1" t="s">
        <v>1111</v>
      </c>
      <c r="E574" s="1">
        <v>0.76699250100000005</v>
      </c>
      <c r="F574" s="1">
        <v>0.113539815</v>
      </c>
      <c r="G574" s="1">
        <f t="shared" si="24"/>
        <v>0.75137381186999996</v>
      </c>
      <c r="H574">
        <f t="shared" si="25"/>
        <v>0.24862618813000004</v>
      </c>
      <c r="I574">
        <f t="shared" si="26"/>
        <v>24.862618813000005</v>
      </c>
    </row>
    <row r="575" spans="1:9" x14ac:dyDescent="0.2">
      <c r="A575" s="1" t="s">
        <v>1000</v>
      </c>
      <c r="B575" s="1" t="s">
        <v>1001</v>
      </c>
      <c r="C575" s="1" t="s">
        <v>54</v>
      </c>
      <c r="D575" s="1" t="s">
        <v>55</v>
      </c>
      <c r="E575" s="1">
        <v>0.78775052599999995</v>
      </c>
      <c r="F575" s="1">
        <v>8.6391685999999995E-2</v>
      </c>
      <c r="G575" s="1">
        <f t="shared" si="24"/>
        <v>0.63044076094000001</v>
      </c>
      <c r="H575">
        <f t="shared" si="25"/>
        <v>0.36955923905999999</v>
      </c>
      <c r="I575">
        <f t="shared" si="26"/>
        <v>36.955923905999995</v>
      </c>
    </row>
    <row r="576" spans="1:9" x14ac:dyDescent="0.2">
      <c r="A576" s="1" t="s">
        <v>1002</v>
      </c>
      <c r="B576" s="1" t="s">
        <v>1003</v>
      </c>
      <c r="C576" s="1" t="s">
        <v>34</v>
      </c>
      <c r="D576" s="1" t="s">
        <v>35</v>
      </c>
      <c r="E576" s="1">
        <v>0.86149533700000003</v>
      </c>
      <c r="F576" s="1">
        <v>6.5785128999999998E-2</v>
      </c>
      <c r="G576" s="1">
        <f t="shared" si="24"/>
        <v>0.44122669276999993</v>
      </c>
      <c r="H576">
        <f t="shared" si="25"/>
        <v>0.55877330723000007</v>
      </c>
      <c r="I576">
        <f t="shared" si="26"/>
        <v>55.877330723000007</v>
      </c>
    </row>
    <row r="577" spans="1:9" x14ac:dyDescent="0.2">
      <c r="A577" s="1" t="s">
        <v>1004</v>
      </c>
      <c r="B577" s="1" t="s">
        <v>1005</v>
      </c>
      <c r="C577" s="1" t="s">
        <v>54</v>
      </c>
      <c r="D577" s="1" t="s">
        <v>55</v>
      </c>
      <c r="E577" s="1">
        <v>0.80238807899999998</v>
      </c>
      <c r="F577" s="1">
        <v>7.7048730999999995E-2</v>
      </c>
      <c r="G577" s="1">
        <f t="shared" si="24"/>
        <v>0.57623250455000008</v>
      </c>
      <c r="H577">
        <f t="shared" si="25"/>
        <v>0.42376749544999992</v>
      </c>
      <c r="I577">
        <f t="shared" si="26"/>
        <v>42.376749544999996</v>
      </c>
    </row>
    <row r="578" spans="1:9" x14ac:dyDescent="0.2">
      <c r="A578" s="1" t="s">
        <v>1006</v>
      </c>
      <c r="B578" s="1" t="s">
        <v>1007</v>
      </c>
      <c r="C578" s="1" t="s">
        <v>6</v>
      </c>
      <c r="D578" s="1" t="s">
        <v>7</v>
      </c>
      <c r="E578" s="1">
        <v>0.85107371899999995</v>
      </c>
      <c r="F578" s="1">
        <v>5.6000304000000001E-2</v>
      </c>
      <c r="G578" s="1">
        <f t="shared" si="24"/>
        <v>0.42771711576000004</v>
      </c>
      <c r="H578">
        <f t="shared" si="25"/>
        <v>0.57228288423999996</v>
      </c>
      <c r="I578">
        <f t="shared" si="26"/>
        <v>57.228288423999999</v>
      </c>
    </row>
    <row r="579" spans="1:9" x14ac:dyDescent="0.2">
      <c r="A579" s="1" t="s">
        <v>1008</v>
      </c>
      <c r="B579" s="1" t="s">
        <v>1009</v>
      </c>
      <c r="C579" s="1" t="s">
        <v>34</v>
      </c>
      <c r="D579" s="1" t="s">
        <v>35</v>
      </c>
      <c r="E579" s="1">
        <v>0.87662924499999995</v>
      </c>
      <c r="F579" s="1">
        <v>4.5567614999999999E-2</v>
      </c>
      <c r="G579" s="1">
        <f t="shared" ref="G579:G633" si="27">1.68*(1-E579)+3.17*F579</f>
        <v>0.35171220795000008</v>
      </c>
      <c r="H579">
        <f t="shared" ref="H579:H633" si="28">1-G579</f>
        <v>0.64828779204999987</v>
      </c>
      <c r="I579">
        <f t="shared" ref="I579:I633" si="29">100*H579</f>
        <v>64.828779204999989</v>
      </c>
    </row>
    <row r="580" spans="1:9" x14ac:dyDescent="0.2">
      <c r="A580" s="1" t="s">
        <v>1010</v>
      </c>
      <c r="B580" s="1" t="s">
        <v>1011</v>
      </c>
      <c r="C580" s="1" t="s">
        <v>98</v>
      </c>
      <c r="D580" s="1" t="s">
        <v>99</v>
      </c>
      <c r="E580" s="1">
        <v>0.80546544499999995</v>
      </c>
      <c r="F580" s="1">
        <v>8.3608915000000006E-2</v>
      </c>
      <c r="G580" s="1">
        <f t="shared" si="27"/>
        <v>0.59185831295000013</v>
      </c>
      <c r="H580">
        <f t="shared" si="28"/>
        <v>0.40814168704999987</v>
      </c>
      <c r="I580">
        <f t="shared" si="29"/>
        <v>40.814168704999986</v>
      </c>
    </row>
    <row r="581" spans="1:9" x14ac:dyDescent="0.2">
      <c r="A581" s="1" t="s">
        <v>1012</v>
      </c>
      <c r="B581" s="1" t="s">
        <v>1013</v>
      </c>
      <c r="C581" s="1" t="s">
        <v>34</v>
      </c>
      <c r="D581" s="1" t="s">
        <v>35</v>
      </c>
      <c r="E581" s="1">
        <v>0.87039854000000005</v>
      </c>
      <c r="F581" s="1">
        <v>5.3561167E-2</v>
      </c>
      <c r="G581" s="1">
        <f t="shared" si="27"/>
        <v>0.38751935218999989</v>
      </c>
      <c r="H581">
        <f t="shared" si="28"/>
        <v>0.61248064781000011</v>
      </c>
      <c r="I581">
        <f t="shared" si="29"/>
        <v>61.248064781000011</v>
      </c>
    </row>
    <row r="582" spans="1:9" x14ac:dyDescent="0.2">
      <c r="A582" s="1" t="s">
        <v>1168</v>
      </c>
      <c r="B582" s="1" t="s">
        <v>1169</v>
      </c>
      <c r="C582" s="1" t="s">
        <v>1110</v>
      </c>
      <c r="D582" s="1" t="s">
        <v>1111</v>
      </c>
      <c r="E582" s="1">
        <v>0.794130734</v>
      </c>
      <c r="F582" s="1">
        <v>9.4194299999999995E-2</v>
      </c>
      <c r="G582" s="1">
        <f t="shared" si="27"/>
        <v>0.64445629787999992</v>
      </c>
      <c r="H582">
        <f t="shared" si="28"/>
        <v>0.35554370212000008</v>
      </c>
      <c r="I582">
        <f t="shared" si="29"/>
        <v>35.554370212000009</v>
      </c>
    </row>
    <row r="583" spans="1:9" x14ac:dyDescent="0.2">
      <c r="A583" s="1" t="s">
        <v>1014</v>
      </c>
      <c r="B583" s="1" t="s">
        <v>1015</v>
      </c>
      <c r="C583" s="1" t="s">
        <v>34</v>
      </c>
      <c r="D583" s="1" t="s">
        <v>35</v>
      </c>
      <c r="E583" s="1">
        <v>0.85987476900000004</v>
      </c>
      <c r="F583" s="1">
        <v>5.8192763000000002E-2</v>
      </c>
      <c r="G583" s="1">
        <f t="shared" si="27"/>
        <v>0.41988144678999995</v>
      </c>
      <c r="H583">
        <f t="shared" si="28"/>
        <v>0.58011855321000005</v>
      </c>
      <c r="I583">
        <f t="shared" si="29"/>
        <v>58.011855321000006</v>
      </c>
    </row>
    <row r="584" spans="1:9" x14ac:dyDescent="0.2">
      <c r="A584" s="1" t="s">
        <v>1016</v>
      </c>
      <c r="B584" s="1" t="s">
        <v>1017</v>
      </c>
      <c r="C584" s="1" t="s">
        <v>38</v>
      </c>
      <c r="D584" s="1" t="s">
        <v>39</v>
      </c>
      <c r="E584" s="1">
        <v>0.81194767499999998</v>
      </c>
      <c r="F584" s="1">
        <v>8.1647473999999998E-2</v>
      </c>
      <c r="G584" s="1">
        <f t="shared" si="27"/>
        <v>0.57475039857999999</v>
      </c>
      <c r="H584">
        <f t="shared" si="28"/>
        <v>0.42524960142000001</v>
      </c>
      <c r="I584">
        <f t="shared" si="29"/>
        <v>42.524960141999998</v>
      </c>
    </row>
    <row r="585" spans="1:9" x14ac:dyDescent="0.2">
      <c r="A585" s="1" t="s">
        <v>1018</v>
      </c>
      <c r="B585" s="1" t="s">
        <v>1019</v>
      </c>
      <c r="C585" s="1" t="s">
        <v>14</v>
      </c>
      <c r="D585" s="1" t="s">
        <v>15</v>
      </c>
      <c r="E585" s="1">
        <v>0.75440979699999999</v>
      </c>
      <c r="F585" s="1">
        <v>0.11927452199999999</v>
      </c>
      <c r="G585" s="1">
        <f t="shared" si="27"/>
        <v>0.79069177578000005</v>
      </c>
      <c r="H585">
        <f t="shared" si="28"/>
        <v>0.20930822421999995</v>
      </c>
      <c r="I585">
        <f t="shared" si="29"/>
        <v>20.930822421999995</v>
      </c>
    </row>
    <row r="586" spans="1:9" x14ac:dyDescent="0.2">
      <c r="A586" s="1" t="s">
        <v>1020</v>
      </c>
      <c r="B586" s="1" t="s">
        <v>1021</v>
      </c>
      <c r="C586" s="1" t="s">
        <v>10</v>
      </c>
      <c r="D586" s="1" t="s">
        <v>11</v>
      </c>
      <c r="E586" s="1">
        <v>0.81045049700000005</v>
      </c>
      <c r="F586" s="1">
        <v>9.2997485000000005E-2</v>
      </c>
      <c r="G586" s="1">
        <f t="shared" si="27"/>
        <v>0.61324519248999998</v>
      </c>
      <c r="H586">
        <f t="shared" si="28"/>
        <v>0.38675480751000002</v>
      </c>
      <c r="I586">
        <f t="shared" si="29"/>
        <v>38.675480751000002</v>
      </c>
    </row>
    <row r="587" spans="1:9" x14ac:dyDescent="0.2">
      <c r="A587" s="1" t="s">
        <v>1022</v>
      </c>
      <c r="B587" s="1" t="s">
        <v>1023</v>
      </c>
      <c r="C587" s="1" t="s">
        <v>34</v>
      </c>
      <c r="D587" s="1" t="s">
        <v>35</v>
      </c>
      <c r="E587" s="1">
        <v>0.87319571600000001</v>
      </c>
      <c r="F587" s="1">
        <v>5.4199988999999997E-2</v>
      </c>
      <c r="G587" s="1">
        <f t="shared" si="27"/>
        <v>0.38484516224999998</v>
      </c>
      <c r="H587">
        <f t="shared" si="28"/>
        <v>0.61515483775000002</v>
      </c>
      <c r="I587">
        <f t="shared" si="29"/>
        <v>61.515483775</v>
      </c>
    </row>
    <row r="588" spans="1:9" x14ac:dyDescent="0.2">
      <c r="A588" s="1" t="s">
        <v>1024</v>
      </c>
      <c r="B588" s="1" t="s">
        <v>1025</v>
      </c>
      <c r="C588" s="1" t="s">
        <v>14</v>
      </c>
      <c r="D588" s="1" t="s">
        <v>15</v>
      </c>
      <c r="E588" s="1">
        <v>0.80438719000000003</v>
      </c>
      <c r="F588" s="1">
        <v>8.7557555999999995E-2</v>
      </c>
      <c r="G588" s="1">
        <f t="shared" si="27"/>
        <v>0.60618697331999993</v>
      </c>
      <c r="H588">
        <f t="shared" si="28"/>
        <v>0.39381302668000007</v>
      </c>
      <c r="I588">
        <f t="shared" si="29"/>
        <v>39.381302668000004</v>
      </c>
    </row>
    <row r="589" spans="1:9" x14ac:dyDescent="0.2">
      <c r="A589" s="1" t="s">
        <v>1026</v>
      </c>
      <c r="B589" s="1" t="s">
        <v>1027</v>
      </c>
      <c r="C589" s="1" t="s">
        <v>14</v>
      </c>
      <c r="D589" s="1" t="s">
        <v>15</v>
      </c>
      <c r="E589" s="1">
        <v>0.83662509299999999</v>
      </c>
      <c r="F589" s="1">
        <v>6.8546642000000005E-2</v>
      </c>
      <c r="G589" s="1">
        <f t="shared" si="27"/>
        <v>0.49176269890000002</v>
      </c>
      <c r="H589">
        <f t="shared" si="28"/>
        <v>0.50823730109999998</v>
      </c>
      <c r="I589">
        <f t="shared" si="29"/>
        <v>50.82373011</v>
      </c>
    </row>
    <row r="590" spans="1:9" x14ac:dyDescent="0.2">
      <c r="A590" s="1" t="s">
        <v>1028</v>
      </c>
      <c r="B590" s="1" t="s">
        <v>1029</v>
      </c>
      <c r="C590" s="1" t="s">
        <v>10</v>
      </c>
      <c r="D590" s="1" t="s">
        <v>11</v>
      </c>
      <c r="E590" s="1">
        <v>0.84660971100000004</v>
      </c>
      <c r="F590" s="1">
        <v>5.7754852000000002E-2</v>
      </c>
      <c r="G590" s="1">
        <f t="shared" si="27"/>
        <v>0.4407785663599999</v>
      </c>
      <c r="H590">
        <f t="shared" si="28"/>
        <v>0.5592214336400001</v>
      </c>
      <c r="I590">
        <f t="shared" si="29"/>
        <v>55.922143364000007</v>
      </c>
    </row>
    <row r="591" spans="1:9" x14ac:dyDescent="0.2">
      <c r="A591" s="1" t="s">
        <v>1030</v>
      </c>
      <c r="B591" s="1" t="s">
        <v>1031</v>
      </c>
      <c r="C591" s="1" t="s">
        <v>98</v>
      </c>
      <c r="D591" s="1" t="s">
        <v>99</v>
      </c>
      <c r="E591" s="1">
        <v>0.767113292</v>
      </c>
      <c r="F591" s="1">
        <v>0.11248823500000001</v>
      </c>
      <c r="G591" s="1">
        <f t="shared" si="27"/>
        <v>0.74783737438999998</v>
      </c>
      <c r="H591">
        <f t="shared" si="28"/>
        <v>0.25216262561000002</v>
      </c>
      <c r="I591">
        <f t="shared" si="29"/>
        <v>25.216262561000001</v>
      </c>
    </row>
    <row r="592" spans="1:9" x14ac:dyDescent="0.2">
      <c r="A592" s="1" t="s">
        <v>1032</v>
      </c>
      <c r="B592" s="1" t="s">
        <v>1033</v>
      </c>
      <c r="C592" s="1" t="s">
        <v>46</v>
      </c>
      <c r="D592" s="1" t="s">
        <v>47</v>
      </c>
      <c r="E592" s="1">
        <v>0.874159872</v>
      </c>
      <c r="F592" s="1">
        <v>5.0793190000000002E-2</v>
      </c>
      <c r="G592" s="1">
        <f t="shared" si="27"/>
        <v>0.37242582733999996</v>
      </c>
      <c r="H592">
        <f t="shared" si="28"/>
        <v>0.62757417266000004</v>
      </c>
      <c r="I592">
        <f t="shared" si="29"/>
        <v>62.757417266000004</v>
      </c>
    </row>
    <row r="593" spans="1:9" x14ac:dyDescent="0.2">
      <c r="A593" s="1" t="s">
        <v>1034</v>
      </c>
      <c r="B593" s="1" t="s">
        <v>1035</v>
      </c>
      <c r="C593" s="1" t="s">
        <v>46</v>
      </c>
      <c r="D593" s="1" t="s">
        <v>47</v>
      </c>
      <c r="E593" s="1">
        <v>0.80987153199999995</v>
      </c>
      <c r="F593" s="1">
        <v>7.3985464000000001E-2</v>
      </c>
      <c r="G593" s="1">
        <f t="shared" si="27"/>
        <v>0.55394974712000011</v>
      </c>
      <c r="H593">
        <f t="shared" si="28"/>
        <v>0.44605025287999989</v>
      </c>
      <c r="I593">
        <f t="shared" si="29"/>
        <v>44.605025287999986</v>
      </c>
    </row>
    <row r="594" spans="1:9" x14ac:dyDescent="0.2">
      <c r="A594" s="1" t="s">
        <v>1036</v>
      </c>
      <c r="B594" s="1" t="s">
        <v>1037</v>
      </c>
      <c r="C594" s="1" t="s">
        <v>6</v>
      </c>
      <c r="D594" s="1" t="s">
        <v>7</v>
      </c>
      <c r="E594" s="1">
        <v>0.83110546200000002</v>
      </c>
      <c r="F594" s="1">
        <v>6.6146769999999994E-2</v>
      </c>
      <c r="G594" s="1">
        <f t="shared" si="27"/>
        <v>0.49342808473999988</v>
      </c>
      <c r="H594">
        <f t="shared" si="28"/>
        <v>0.50657191526000012</v>
      </c>
      <c r="I594">
        <f t="shared" si="29"/>
        <v>50.657191526000013</v>
      </c>
    </row>
    <row r="595" spans="1:9" x14ac:dyDescent="0.2">
      <c r="A595" s="1" t="s">
        <v>1038</v>
      </c>
      <c r="B595" s="1" t="s">
        <v>1039</v>
      </c>
      <c r="C595" s="1" t="s">
        <v>18</v>
      </c>
      <c r="D595" s="1" t="s">
        <v>19</v>
      </c>
      <c r="E595" s="1">
        <v>0.82127867700000001</v>
      </c>
      <c r="F595" s="1">
        <v>7.2523563999999999E-2</v>
      </c>
      <c r="G595" s="1">
        <f t="shared" si="27"/>
        <v>0.53015152051999992</v>
      </c>
      <c r="H595">
        <f t="shared" si="28"/>
        <v>0.46984847948000008</v>
      </c>
      <c r="I595">
        <f t="shared" si="29"/>
        <v>46.984847948000009</v>
      </c>
    </row>
    <row r="596" spans="1:9" x14ac:dyDescent="0.2">
      <c r="A596" s="1" t="s">
        <v>1040</v>
      </c>
      <c r="B596" s="1" t="s">
        <v>1041</v>
      </c>
      <c r="C596" s="1" t="s">
        <v>54</v>
      </c>
      <c r="D596" s="1" t="s">
        <v>55</v>
      </c>
      <c r="E596" s="1">
        <v>0.82347497300000005</v>
      </c>
      <c r="F596" s="1">
        <v>6.8269284999999999E-2</v>
      </c>
      <c r="G596" s="1">
        <f t="shared" si="27"/>
        <v>0.51297567880999995</v>
      </c>
      <c r="H596">
        <f t="shared" si="28"/>
        <v>0.48702432119000005</v>
      </c>
      <c r="I596">
        <f t="shared" si="29"/>
        <v>48.702432119000008</v>
      </c>
    </row>
    <row r="597" spans="1:9" x14ac:dyDescent="0.2">
      <c r="A597" s="1" t="s">
        <v>1042</v>
      </c>
      <c r="B597" s="1" t="s">
        <v>1043</v>
      </c>
      <c r="C597" s="1" t="s">
        <v>46</v>
      </c>
      <c r="D597" s="1" t="s">
        <v>47</v>
      </c>
      <c r="E597" s="1">
        <v>0.84917669600000001</v>
      </c>
      <c r="F597" s="1">
        <v>5.7565340999999999E-2</v>
      </c>
      <c r="G597" s="1">
        <f t="shared" si="27"/>
        <v>0.43586528168999994</v>
      </c>
      <c r="H597">
        <f t="shared" si="28"/>
        <v>0.56413471831000006</v>
      </c>
      <c r="I597">
        <f t="shared" si="29"/>
        <v>56.41347183100001</v>
      </c>
    </row>
    <row r="598" spans="1:9" x14ac:dyDescent="0.2">
      <c r="A598" s="1" t="s">
        <v>1288</v>
      </c>
      <c r="B598" s="1" t="s">
        <v>1289</v>
      </c>
      <c r="C598" s="1" t="s">
        <v>1176</v>
      </c>
      <c r="D598" s="1" t="s">
        <v>1177</v>
      </c>
      <c r="E598" s="1">
        <v>0.82361450199999997</v>
      </c>
      <c r="F598" s="1">
        <v>6.2375607999999999E-2</v>
      </c>
      <c r="G598" s="1">
        <f t="shared" si="27"/>
        <v>0.49405831400000005</v>
      </c>
      <c r="H598">
        <f t="shared" si="28"/>
        <v>0.50594168599999989</v>
      </c>
      <c r="I598">
        <f t="shared" si="29"/>
        <v>50.594168599999989</v>
      </c>
    </row>
    <row r="599" spans="1:9" x14ac:dyDescent="0.2">
      <c r="A599" s="1" t="s">
        <v>1044</v>
      </c>
      <c r="B599" s="1" t="s">
        <v>1045</v>
      </c>
      <c r="C599" s="1" t="s">
        <v>10</v>
      </c>
      <c r="D599" s="1" t="s">
        <v>11</v>
      </c>
      <c r="E599" s="1">
        <v>0.83102770400000003</v>
      </c>
      <c r="F599" s="1">
        <v>8.0856360000000002E-2</v>
      </c>
      <c r="G599" s="1">
        <f t="shared" si="27"/>
        <v>0.54018811847999992</v>
      </c>
      <c r="H599">
        <f t="shared" si="28"/>
        <v>0.45981188152000008</v>
      </c>
      <c r="I599">
        <f t="shared" si="29"/>
        <v>45.981188152000009</v>
      </c>
    </row>
    <row r="600" spans="1:9" x14ac:dyDescent="0.2">
      <c r="A600" s="1" t="s">
        <v>1046</v>
      </c>
      <c r="B600" s="1" t="s">
        <v>1047</v>
      </c>
      <c r="C600" s="1" t="s">
        <v>54</v>
      </c>
      <c r="D600" s="1" t="s">
        <v>55</v>
      </c>
      <c r="E600" s="1">
        <v>0.80082060899999996</v>
      </c>
      <c r="F600" s="1">
        <v>7.5585806000000005E-2</v>
      </c>
      <c r="G600" s="1">
        <f t="shared" si="27"/>
        <v>0.57422838190000003</v>
      </c>
      <c r="H600">
        <f t="shared" si="28"/>
        <v>0.42577161809999997</v>
      </c>
      <c r="I600">
        <f t="shared" si="29"/>
        <v>42.57716181</v>
      </c>
    </row>
    <row r="601" spans="1:9" x14ac:dyDescent="0.2">
      <c r="A601" s="1" t="s">
        <v>1278</v>
      </c>
      <c r="B601" s="1" t="s">
        <v>1279</v>
      </c>
      <c r="C601" s="1" t="s">
        <v>1176</v>
      </c>
      <c r="D601" s="1" t="s">
        <v>1177</v>
      </c>
      <c r="E601" s="1">
        <v>0.72162570000000004</v>
      </c>
      <c r="F601" s="1">
        <v>0.139061407</v>
      </c>
      <c r="G601" s="1">
        <f t="shared" si="27"/>
        <v>0.90849348418999987</v>
      </c>
      <c r="H601">
        <f t="shared" si="28"/>
        <v>9.1506515810000133E-2</v>
      </c>
      <c r="I601">
        <f t="shared" si="29"/>
        <v>9.1506515810000124</v>
      </c>
    </row>
    <row r="602" spans="1:9" x14ac:dyDescent="0.2">
      <c r="A602" s="1" t="s">
        <v>1048</v>
      </c>
      <c r="B602" s="1" t="s">
        <v>1049</v>
      </c>
      <c r="C602" s="1" t="s">
        <v>34</v>
      </c>
      <c r="D602" s="1" t="s">
        <v>35</v>
      </c>
      <c r="E602" s="1">
        <v>0.87722443299999997</v>
      </c>
      <c r="F602" s="1">
        <v>5.8370863000000002E-2</v>
      </c>
      <c r="G602" s="1">
        <f t="shared" si="27"/>
        <v>0.39129858827000008</v>
      </c>
      <c r="H602">
        <f t="shared" si="28"/>
        <v>0.60870141172999992</v>
      </c>
      <c r="I602">
        <f t="shared" si="29"/>
        <v>60.870141172999993</v>
      </c>
    </row>
    <row r="603" spans="1:9" x14ac:dyDescent="0.2">
      <c r="A603" s="1" t="s">
        <v>1050</v>
      </c>
      <c r="B603" s="1" t="s">
        <v>1051</v>
      </c>
      <c r="C603" s="1" t="s">
        <v>14</v>
      </c>
      <c r="D603" s="1" t="s">
        <v>15</v>
      </c>
      <c r="E603" s="1">
        <v>0.80493244500000005</v>
      </c>
      <c r="F603" s="1">
        <v>8.9618368000000004E-2</v>
      </c>
      <c r="G603" s="1">
        <f t="shared" si="27"/>
        <v>0.61180371895999985</v>
      </c>
      <c r="H603">
        <f t="shared" si="28"/>
        <v>0.38819628104000015</v>
      </c>
      <c r="I603">
        <f t="shared" si="29"/>
        <v>38.819628104000017</v>
      </c>
    </row>
    <row r="604" spans="1:9" x14ac:dyDescent="0.2">
      <c r="A604" s="1" t="s">
        <v>1052</v>
      </c>
      <c r="B604" s="1" t="s">
        <v>1053</v>
      </c>
      <c r="C604" s="1" t="s">
        <v>46</v>
      </c>
      <c r="D604" s="1" t="s">
        <v>47</v>
      </c>
      <c r="E604" s="1">
        <v>0.841919949</v>
      </c>
      <c r="F604" s="1">
        <v>5.9983580000000002E-2</v>
      </c>
      <c r="G604" s="1">
        <f t="shared" si="27"/>
        <v>0.45572243427999998</v>
      </c>
      <c r="H604">
        <f t="shared" si="28"/>
        <v>0.54427756572000008</v>
      </c>
      <c r="I604">
        <f t="shared" si="29"/>
        <v>54.427756572000007</v>
      </c>
    </row>
    <row r="605" spans="1:9" x14ac:dyDescent="0.2">
      <c r="A605" s="1" t="s">
        <v>1054</v>
      </c>
      <c r="B605" s="1" t="s">
        <v>1055</v>
      </c>
      <c r="C605" s="1" t="s">
        <v>10</v>
      </c>
      <c r="D605" s="1" t="s">
        <v>11</v>
      </c>
      <c r="E605" s="1">
        <v>0.81142525499999996</v>
      </c>
      <c r="F605" s="1">
        <v>7.3578969999999994E-2</v>
      </c>
      <c r="G605" s="1">
        <f t="shared" si="27"/>
        <v>0.55005090649999999</v>
      </c>
      <c r="H605">
        <f t="shared" si="28"/>
        <v>0.44994909350000001</v>
      </c>
      <c r="I605">
        <f t="shared" si="29"/>
        <v>44.99490935</v>
      </c>
    </row>
    <row r="606" spans="1:9" x14ac:dyDescent="0.2">
      <c r="A606" s="1" t="s">
        <v>1056</v>
      </c>
      <c r="B606" s="1" t="s">
        <v>1057</v>
      </c>
      <c r="C606" s="1" t="s">
        <v>14</v>
      </c>
      <c r="D606" s="1" t="s">
        <v>15</v>
      </c>
      <c r="E606" s="1">
        <v>0.82797342799999996</v>
      </c>
      <c r="F606" s="1">
        <v>6.4879786999999994E-2</v>
      </c>
      <c r="G606" s="1">
        <f t="shared" si="27"/>
        <v>0.49467356575000004</v>
      </c>
      <c r="H606">
        <f t="shared" si="28"/>
        <v>0.5053264342499999</v>
      </c>
      <c r="I606">
        <f t="shared" si="29"/>
        <v>50.532643424999989</v>
      </c>
    </row>
    <row r="607" spans="1:9" x14ac:dyDescent="0.2">
      <c r="A607" s="1" t="s">
        <v>1058</v>
      </c>
      <c r="B607" s="1" t="s">
        <v>1059</v>
      </c>
      <c r="C607" s="1" t="s">
        <v>54</v>
      </c>
      <c r="D607" s="1" t="s">
        <v>55</v>
      </c>
      <c r="E607" s="1">
        <v>0.78815238300000001</v>
      </c>
      <c r="F607" s="1">
        <v>9.1091069999999996E-2</v>
      </c>
      <c r="G607" s="1">
        <f t="shared" si="27"/>
        <v>0.64466268845999997</v>
      </c>
      <c r="H607">
        <f t="shared" si="28"/>
        <v>0.35533731154000003</v>
      </c>
      <c r="I607">
        <f t="shared" si="29"/>
        <v>35.533731154000002</v>
      </c>
    </row>
    <row r="608" spans="1:9" x14ac:dyDescent="0.2">
      <c r="A608" s="1" t="s">
        <v>1060</v>
      </c>
      <c r="B608" s="1" t="s">
        <v>1061</v>
      </c>
      <c r="C608" s="1" t="s">
        <v>38</v>
      </c>
      <c r="D608" s="1" t="s">
        <v>39</v>
      </c>
      <c r="E608" s="1">
        <v>0.844943624</v>
      </c>
      <c r="F608" s="1">
        <v>5.7971331000000001E-2</v>
      </c>
      <c r="G608" s="1">
        <f t="shared" si="27"/>
        <v>0.44426383094999999</v>
      </c>
      <c r="H608">
        <f t="shared" si="28"/>
        <v>0.55573616905000001</v>
      </c>
      <c r="I608">
        <f t="shared" si="29"/>
        <v>55.573616905000002</v>
      </c>
    </row>
    <row r="609" spans="1:9" x14ac:dyDescent="0.2">
      <c r="A609" s="1" t="s">
        <v>1062</v>
      </c>
      <c r="B609" s="1" t="s">
        <v>1063</v>
      </c>
      <c r="C609" s="1" t="s">
        <v>14</v>
      </c>
      <c r="D609" s="1" t="s">
        <v>15</v>
      </c>
      <c r="E609" s="1">
        <v>0.78793155299999995</v>
      </c>
      <c r="F609" s="1">
        <v>9.8026569999999993E-2</v>
      </c>
      <c r="G609" s="1">
        <f t="shared" si="27"/>
        <v>0.66701921786000007</v>
      </c>
      <c r="H609">
        <f t="shared" si="28"/>
        <v>0.33298078213999993</v>
      </c>
      <c r="I609">
        <f t="shared" si="29"/>
        <v>33.298078213999993</v>
      </c>
    </row>
    <row r="610" spans="1:9" x14ac:dyDescent="0.2">
      <c r="A610" s="1" t="s">
        <v>1064</v>
      </c>
      <c r="B610" s="1" t="s">
        <v>1065</v>
      </c>
      <c r="C610" s="1" t="s">
        <v>14</v>
      </c>
      <c r="D610" s="1" t="s">
        <v>15</v>
      </c>
      <c r="E610" s="1">
        <v>0.79045072699999996</v>
      </c>
      <c r="F610" s="1">
        <v>0.103004849</v>
      </c>
      <c r="G610" s="1">
        <f t="shared" si="27"/>
        <v>0.67856814997000003</v>
      </c>
      <c r="H610">
        <f t="shared" si="28"/>
        <v>0.32143185002999997</v>
      </c>
      <c r="I610">
        <f t="shared" si="29"/>
        <v>32.143185002999999</v>
      </c>
    </row>
    <row r="611" spans="1:9" x14ac:dyDescent="0.2">
      <c r="A611" s="1" t="s">
        <v>1066</v>
      </c>
      <c r="B611" s="1" t="s">
        <v>1067</v>
      </c>
      <c r="C611" s="1" t="s">
        <v>14</v>
      </c>
      <c r="D611" s="1" t="s">
        <v>15</v>
      </c>
      <c r="E611" s="1">
        <v>0.79707312399999997</v>
      </c>
      <c r="F611" s="1">
        <v>9.5814662999999994E-2</v>
      </c>
      <c r="G611" s="1">
        <f t="shared" si="27"/>
        <v>0.64464963339000003</v>
      </c>
      <c r="H611">
        <f t="shared" si="28"/>
        <v>0.35535036660999997</v>
      </c>
      <c r="I611">
        <f t="shared" si="29"/>
        <v>35.535036660999999</v>
      </c>
    </row>
    <row r="612" spans="1:9" x14ac:dyDescent="0.2">
      <c r="A612" s="1" t="s">
        <v>1068</v>
      </c>
      <c r="B612" s="1" t="s">
        <v>1069</v>
      </c>
      <c r="C612" s="1" t="s">
        <v>34</v>
      </c>
      <c r="D612" s="1" t="s">
        <v>35</v>
      </c>
      <c r="E612" s="1">
        <v>0.88910729700000002</v>
      </c>
      <c r="F612" s="1">
        <v>4.1152226E-2</v>
      </c>
      <c r="G612" s="1">
        <f t="shared" si="27"/>
        <v>0.31675229746</v>
      </c>
      <c r="H612">
        <f t="shared" si="28"/>
        <v>0.68324770254</v>
      </c>
      <c r="I612">
        <f t="shared" si="29"/>
        <v>68.324770254000001</v>
      </c>
    </row>
    <row r="613" spans="1:9" x14ac:dyDescent="0.2">
      <c r="A613" s="1" t="s">
        <v>1070</v>
      </c>
      <c r="B613" s="1" t="s">
        <v>1071</v>
      </c>
      <c r="C613" s="1" t="s">
        <v>6</v>
      </c>
      <c r="D613" s="1" t="s">
        <v>7</v>
      </c>
      <c r="E613" s="1">
        <v>0.84616999999999998</v>
      </c>
      <c r="F613" s="1">
        <v>5.2126186999999997E-2</v>
      </c>
      <c r="G613" s="1">
        <f t="shared" si="27"/>
        <v>0.42367441279000001</v>
      </c>
      <c r="H613">
        <f t="shared" si="28"/>
        <v>0.57632558720999993</v>
      </c>
      <c r="I613">
        <f t="shared" si="29"/>
        <v>57.632558720999995</v>
      </c>
    </row>
    <row r="614" spans="1:9" x14ac:dyDescent="0.2">
      <c r="A614" s="1" t="s">
        <v>1072</v>
      </c>
      <c r="B614" s="1" t="s">
        <v>1073</v>
      </c>
      <c r="C614" s="1" t="s">
        <v>6</v>
      </c>
      <c r="D614" s="1" t="s">
        <v>7</v>
      </c>
      <c r="E614" s="1">
        <v>0.87409692299999997</v>
      </c>
      <c r="F614" s="1">
        <v>4.8236239E-2</v>
      </c>
      <c r="G614" s="1">
        <f t="shared" si="27"/>
        <v>0.36442604699000003</v>
      </c>
      <c r="H614">
        <f t="shared" si="28"/>
        <v>0.63557395300999997</v>
      </c>
      <c r="I614">
        <f t="shared" si="29"/>
        <v>63.557395301</v>
      </c>
    </row>
    <row r="615" spans="1:9" x14ac:dyDescent="0.2">
      <c r="A615" s="1" t="s">
        <v>1074</v>
      </c>
      <c r="B615" s="1" t="s">
        <v>1075</v>
      </c>
      <c r="C615" s="1" t="s">
        <v>14</v>
      </c>
      <c r="D615" s="1" t="s">
        <v>15</v>
      </c>
      <c r="E615" s="1">
        <v>0.80857068099999996</v>
      </c>
      <c r="F615" s="1">
        <v>8.4739591000000003E-2</v>
      </c>
      <c r="G615" s="1">
        <f t="shared" si="27"/>
        <v>0.59022575938999999</v>
      </c>
      <c r="H615">
        <f t="shared" si="28"/>
        <v>0.40977424061000001</v>
      </c>
      <c r="I615">
        <f t="shared" si="29"/>
        <v>40.977424061000001</v>
      </c>
    </row>
    <row r="616" spans="1:9" x14ac:dyDescent="0.2">
      <c r="A616" s="1" t="s">
        <v>1076</v>
      </c>
      <c r="B616" s="1" t="s">
        <v>1077</v>
      </c>
      <c r="C616" s="1" t="s">
        <v>46</v>
      </c>
      <c r="D616" s="1" t="s">
        <v>47</v>
      </c>
      <c r="E616" s="1">
        <v>0.83278150500000003</v>
      </c>
      <c r="F616" s="1">
        <v>6.6102142000000003E-2</v>
      </c>
      <c r="G616" s="1">
        <f t="shared" si="27"/>
        <v>0.49047086173999987</v>
      </c>
      <c r="H616">
        <f t="shared" si="28"/>
        <v>0.50952913826000013</v>
      </c>
      <c r="I616">
        <f t="shared" si="29"/>
        <v>50.952913826000014</v>
      </c>
    </row>
    <row r="617" spans="1:9" x14ac:dyDescent="0.2">
      <c r="A617" s="1" t="s">
        <v>1078</v>
      </c>
      <c r="B617" s="1" t="s">
        <v>1079</v>
      </c>
      <c r="C617" s="1" t="s">
        <v>6</v>
      </c>
      <c r="D617" s="1" t="s">
        <v>7</v>
      </c>
      <c r="E617" s="1">
        <v>0.85306395199999996</v>
      </c>
      <c r="F617" s="1">
        <v>5.1737611000000003E-2</v>
      </c>
      <c r="G617" s="1">
        <f t="shared" si="27"/>
        <v>0.41086078751000005</v>
      </c>
      <c r="H617">
        <f t="shared" si="28"/>
        <v>0.5891392124899999</v>
      </c>
      <c r="I617">
        <f t="shared" si="29"/>
        <v>58.913921248999991</v>
      </c>
    </row>
    <row r="618" spans="1:9" x14ac:dyDescent="0.2">
      <c r="A618" s="1" t="s">
        <v>1080</v>
      </c>
      <c r="B618" s="1" t="s">
        <v>1081</v>
      </c>
      <c r="C618" s="1" t="s">
        <v>6</v>
      </c>
      <c r="D618" s="1" t="s">
        <v>7</v>
      </c>
      <c r="E618" s="1">
        <v>0.86394466199999997</v>
      </c>
      <c r="F618" s="1">
        <v>5.1230000999999997E-2</v>
      </c>
      <c r="G618" s="1">
        <f t="shared" si="27"/>
        <v>0.39097207100999998</v>
      </c>
      <c r="H618">
        <f t="shared" si="28"/>
        <v>0.60902792899000002</v>
      </c>
      <c r="I618">
        <f t="shared" si="29"/>
        <v>60.902792899000005</v>
      </c>
    </row>
    <row r="619" spans="1:9" x14ac:dyDescent="0.2">
      <c r="A619" s="1" t="s">
        <v>1082</v>
      </c>
      <c r="B619" s="1" t="s">
        <v>1083</v>
      </c>
      <c r="C619" s="1" t="s">
        <v>6</v>
      </c>
      <c r="D619" s="1" t="s">
        <v>7</v>
      </c>
      <c r="E619" s="1">
        <v>0.873699428</v>
      </c>
      <c r="F619" s="1">
        <v>4.3165760999999997E-2</v>
      </c>
      <c r="G619" s="1">
        <f t="shared" si="27"/>
        <v>0.34902042333</v>
      </c>
      <c r="H619">
        <f t="shared" si="28"/>
        <v>0.65097957666999995</v>
      </c>
      <c r="I619">
        <f t="shared" si="29"/>
        <v>65.097957666999989</v>
      </c>
    </row>
    <row r="620" spans="1:9" x14ac:dyDescent="0.2">
      <c r="A620" s="1" t="s">
        <v>1084</v>
      </c>
      <c r="B620" s="1" t="s">
        <v>1085</v>
      </c>
      <c r="C620" s="1" t="s">
        <v>10</v>
      </c>
      <c r="D620" s="1" t="s">
        <v>11</v>
      </c>
      <c r="E620" s="1">
        <v>0.80979259100000001</v>
      </c>
      <c r="F620" s="1">
        <v>8.7842491999999994E-2</v>
      </c>
      <c r="G620" s="1">
        <f t="shared" si="27"/>
        <v>0.59800914675999994</v>
      </c>
      <c r="H620">
        <f t="shared" si="28"/>
        <v>0.40199085324000006</v>
      </c>
      <c r="I620">
        <f t="shared" si="29"/>
        <v>40.199085324000009</v>
      </c>
    </row>
    <row r="621" spans="1:9" x14ac:dyDescent="0.2">
      <c r="A621" s="1" t="s">
        <v>1086</v>
      </c>
      <c r="B621" s="1" t="s">
        <v>1087</v>
      </c>
      <c r="C621" s="1" t="s">
        <v>10</v>
      </c>
      <c r="D621" s="1" t="s">
        <v>11</v>
      </c>
      <c r="E621" s="1">
        <v>0.80949676800000003</v>
      </c>
      <c r="F621" s="1">
        <v>9.1117866000000006E-2</v>
      </c>
      <c r="G621" s="1">
        <f t="shared" si="27"/>
        <v>0.60888906497999995</v>
      </c>
      <c r="H621">
        <f t="shared" si="28"/>
        <v>0.39111093502000005</v>
      </c>
      <c r="I621">
        <f t="shared" si="29"/>
        <v>39.111093502000003</v>
      </c>
    </row>
    <row r="622" spans="1:9" x14ac:dyDescent="0.2">
      <c r="A622" s="1" t="s">
        <v>1088</v>
      </c>
      <c r="B622" s="1" t="s">
        <v>1089</v>
      </c>
      <c r="C622" s="1" t="s">
        <v>10</v>
      </c>
      <c r="D622" s="1" t="s">
        <v>11</v>
      </c>
      <c r="E622" s="1">
        <v>0.82676312600000001</v>
      </c>
      <c r="F622" s="1">
        <v>7.6845234999999998E-2</v>
      </c>
      <c r="G622" s="1">
        <f t="shared" si="27"/>
        <v>0.53463734327000001</v>
      </c>
      <c r="H622">
        <f t="shared" si="28"/>
        <v>0.46536265672999999</v>
      </c>
      <c r="I622">
        <f t="shared" si="29"/>
        <v>46.536265673000003</v>
      </c>
    </row>
    <row r="623" spans="1:9" x14ac:dyDescent="0.2">
      <c r="A623" s="1" t="s">
        <v>1090</v>
      </c>
      <c r="B623" s="1" t="s">
        <v>1091</v>
      </c>
      <c r="C623" s="1" t="s">
        <v>10</v>
      </c>
      <c r="D623" s="1" t="s">
        <v>11</v>
      </c>
      <c r="E623" s="1">
        <v>0.82483248600000003</v>
      </c>
      <c r="F623" s="1">
        <v>6.6928527000000002E-2</v>
      </c>
      <c r="G623" s="1">
        <f t="shared" si="27"/>
        <v>0.50644485410999995</v>
      </c>
      <c r="H623">
        <f t="shared" si="28"/>
        <v>0.49355514589000005</v>
      </c>
      <c r="I623">
        <f t="shared" si="29"/>
        <v>49.355514589000002</v>
      </c>
    </row>
    <row r="624" spans="1:9" x14ac:dyDescent="0.2">
      <c r="A624" s="1" t="s">
        <v>1092</v>
      </c>
      <c r="B624" s="1" t="s">
        <v>1093</v>
      </c>
      <c r="C624" s="1" t="s">
        <v>14</v>
      </c>
      <c r="D624" s="1" t="s">
        <v>15</v>
      </c>
      <c r="E624" s="1">
        <v>0.81646816099999997</v>
      </c>
      <c r="F624" s="1">
        <v>8.3062927999999994E-2</v>
      </c>
      <c r="G624" s="1">
        <f t="shared" si="27"/>
        <v>0.57164297127999997</v>
      </c>
      <c r="H624">
        <f t="shared" si="28"/>
        <v>0.42835702872000003</v>
      </c>
      <c r="I624">
        <f t="shared" si="29"/>
        <v>42.835702872000006</v>
      </c>
    </row>
    <row r="625" spans="1:9" x14ac:dyDescent="0.2">
      <c r="A625" s="1" t="s">
        <v>1094</v>
      </c>
      <c r="B625" s="1" t="s">
        <v>1095</v>
      </c>
      <c r="C625" s="1" t="s">
        <v>6</v>
      </c>
      <c r="D625" s="1" t="s">
        <v>7</v>
      </c>
      <c r="E625" s="1">
        <v>0.80103278899999997</v>
      </c>
      <c r="F625" s="1">
        <v>8.2402486999999996E-2</v>
      </c>
      <c r="G625" s="1">
        <f t="shared" si="27"/>
        <v>0.59548079827000011</v>
      </c>
      <c r="H625">
        <f t="shared" si="28"/>
        <v>0.40451920172999989</v>
      </c>
      <c r="I625">
        <f t="shared" si="29"/>
        <v>40.451920172999991</v>
      </c>
    </row>
    <row r="626" spans="1:9" x14ac:dyDescent="0.2">
      <c r="A626" s="1" t="s">
        <v>1170</v>
      </c>
      <c r="B626" s="1" t="s">
        <v>1171</v>
      </c>
      <c r="C626" s="1" t="s">
        <v>1110</v>
      </c>
      <c r="D626" s="1" t="s">
        <v>1111</v>
      </c>
      <c r="E626" s="1">
        <v>0.80002220400000001</v>
      </c>
      <c r="F626" s="1">
        <v>9.0774215000000005E-2</v>
      </c>
      <c r="G626" s="1">
        <f t="shared" si="27"/>
        <v>0.62371695883</v>
      </c>
      <c r="H626">
        <f t="shared" si="28"/>
        <v>0.37628304117</v>
      </c>
      <c r="I626">
        <f t="shared" si="29"/>
        <v>37.628304116999999</v>
      </c>
    </row>
    <row r="627" spans="1:9" x14ac:dyDescent="0.2">
      <c r="A627" s="1" t="s">
        <v>1096</v>
      </c>
      <c r="B627" s="1" t="s">
        <v>1097</v>
      </c>
      <c r="C627" s="1" t="s">
        <v>6</v>
      </c>
      <c r="D627" s="1" t="s">
        <v>7</v>
      </c>
      <c r="E627" s="1">
        <v>0.86902566599999997</v>
      </c>
      <c r="F627" s="1">
        <v>4.9488182999999998E-2</v>
      </c>
      <c r="G627" s="1">
        <f t="shared" si="27"/>
        <v>0.37691442123000002</v>
      </c>
      <c r="H627">
        <f t="shared" si="28"/>
        <v>0.62308557877000004</v>
      </c>
      <c r="I627">
        <f t="shared" si="29"/>
        <v>62.308557877000005</v>
      </c>
    </row>
    <row r="628" spans="1:9" x14ac:dyDescent="0.2">
      <c r="A628" s="1" t="s">
        <v>1098</v>
      </c>
      <c r="B628" s="1" t="s">
        <v>1099</v>
      </c>
      <c r="C628" s="1" t="s">
        <v>10</v>
      </c>
      <c r="D628" s="1" t="s">
        <v>11</v>
      </c>
      <c r="E628" s="1">
        <v>0.79864576300000001</v>
      </c>
      <c r="F628" s="1">
        <v>8.6145639999999996E-2</v>
      </c>
      <c r="G628" s="1">
        <f t="shared" si="27"/>
        <v>0.61135679696</v>
      </c>
      <c r="H628">
        <f t="shared" si="28"/>
        <v>0.38864320304</v>
      </c>
      <c r="I628">
        <f t="shared" si="29"/>
        <v>38.864320304000003</v>
      </c>
    </row>
    <row r="629" spans="1:9" x14ac:dyDescent="0.2">
      <c r="A629" s="1" t="s">
        <v>1100</v>
      </c>
      <c r="B629" s="1" t="s">
        <v>1101</v>
      </c>
      <c r="C629" s="1" t="s">
        <v>14</v>
      </c>
      <c r="D629" s="1" t="s">
        <v>15</v>
      </c>
      <c r="E629" s="1">
        <v>0.80170459100000002</v>
      </c>
      <c r="F629" s="1">
        <v>9.6154363000000007E-2</v>
      </c>
      <c r="G629" s="1">
        <f t="shared" si="27"/>
        <v>0.63794561782999992</v>
      </c>
      <c r="H629">
        <f t="shared" si="28"/>
        <v>0.36205438217000008</v>
      </c>
      <c r="I629">
        <f t="shared" si="29"/>
        <v>36.205438217000008</v>
      </c>
    </row>
    <row r="630" spans="1:9" x14ac:dyDescent="0.2">
      <c r="A630" s="1" t="s">
        <v>1102</v>
      </c>
      <c r="B630" s="1" t="s">
        <v>1103</v>
      </c>
      <c r="C630" s="1" t="s">
        <v>54</v>
      </c>
      <c r="D630" s="1" t="s">
        <v>55</v>
      </c>
      <c r="E630" s="1">
        <v>0.81221454100000001</v>
      </c>
      <c r="F630" s="1">
        <v>7.2781883000000006E-2</v>
      </c>
      <c r="G630" s="1">
        <f t="shared" si="27"/>
        <v>0.54619814023000002</v>
      </c>
      <c r="H630">
        <f t="shared" si="28"/>
        <v>0.45380185976999998</v>
      </c>
      <c r="I630">
        <f t="shared" si="29"/>
        <v>45.380185976999996</v>
      </c>
    </row>
    <row r="631" spans="1:9" x14ac:dyDescent="0.2">
      <c r="A631" s="1" t="s">
        <v>1172</v>
      </c>
      <c r="B631" s="1" t="s">
        <v>1173</v>
      </c>
      <c r="C631" s="1" t="s">
        <v>1110</v>
      </c>
      <c r="D631" s="1" t="s">
        <v>1111</v>
      </c>
      <c r="E631" s="1">
        <v>0.793179046</v>
      </c>
      <c r="F631" s="1">
        <v>9.4401532999999996E-2</v>
      </c>
      <c r="G631" s="1">
        <f t="shared" si="27"/>
        <v>0.64671206233</v>
      </c>
      <c r="H631">
        <f t="shared" si="28"/>
        <v>0.35328793767</v>
      </c>
      <c r="I631">
        <f t="shared" si="29"/>
        <v>35.328793767000001</v>
      </c>
    </row>
    <row r="632" spans="1:9" x14ac:dyDescent="0.2">
      <c r="A632" s="1" t="s">
        <v>1104</v>
      </c>
      <c r="B632" s="1" t="s">
        <v>1105</v>
      </c>
      <c r="C632" s="1" t="s">
        <v>38</v>
      </c>
      <c r="D632" s="1" t="s">
        <v>39</v>
      </c>
      <c r="E632" s="1">
        <v>0.82479179999999996</v>
      </c>
      <c r="F632" s="1">
        <v>5.9083005000000001E-2</v>
      </c>
      <c r="G632" s="1">
        <f t="shared" si="27"/>
        <v>0.48164290185000003</v>
      </c>
      <c r="H632">
        <f t="shared" si="28"/>
        <v>0.51835709814999997</v>
      </c>
      <c r="I632">
        <f t="shared" si="29"/>
        <v>51.835709814999994</v>
      </c>
    </row>
    <row r="633" spans="1:9" x14ac:dyDescent="0.2">
      <c r="A633" s="1" t="s">
        <v>1106</v>
      </c>
      <c r="B633" s="1" t="s">
        <v>1107</v>
      </c>
      <c r="C633" s="1" t="s">
        <v>38</v>
      </c>
      <c r="D633" s="1" t="s">
        <v>39</v>
      </c>
      <c r="E633" s="1">
        <v>0.83488150800000005</v>
      </c>
      <c r="F633" s="1">
        <v>5.8577674000000003E-2</v>
      </c>
      <c r="G633" s="1">
        <f t="shared" si="27"/>
        <v>0.46309029313999994</v>
      </c>
      <c r="H633">
        <f t="shared" si="28"/>
        <v>0.53690970686000006</v>
      </c>
      <c r="I633">
        <f t="shared" si="29"/>
        <v>53.690970686000007</v>
      </c>
    </row>
    <row r="634" spans="1:9" x14ac:dyDescent="0.2">
      <c r="E634">
        <f>MIN(E2:E633)</f>
        <v>0.70303900200000002</v>
      </c>
      <c r="F634">
        <f>MAX(F2:F633)</f>
        <v>0.15744224000000001</v>
      </c>
    </row>
    <row r="635" spans="1:9" x14ac:dyDescent="0.2">
      <c r="E635">
        <f>1-E634</f>
        <v>0.29696099799999998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Disabilities Index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KIRK-WADE, Esme</dc:creator>
  <cp:lastModifiedBy>Ben Silvester-Ratcliffe</cp:lastModifiedBy>
  <dcterms:created xsi:type="dcterms:W3CDTF">2024-10-08T16:08:43Z</dcterms:created>
  <dcterms:modified xsi:type="dcterms:W3CDTF">2026-06-12T13:12:44Z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2024-10-08T16:13:49Z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c43afe66-4bf9-40ee-8576-ccb7f3b5ee51</vt:lpwstr>
  </property>
  <property fmtid="{D5CDD505-2E9C-101B-9397-08002B2CF9AE}" pid="8" name="MSIP_Label_a8f77787-5df4-43b6-a2a8-8d8b678a318b_ContentBits">
    <vt:lpwstr>0</vt:lpwstr>
  </property>
</Properties>
</file>